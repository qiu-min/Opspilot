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秋\Desktop\"/>
    </mc:Choice>
  </mc:AlternateContent>
  <xr:revisionPtr revIDLastSave="0" documentId="8_{767342FF-7816-4A2C-82C1-21276D5DB7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lesData" sheetId="1" r:id="rId1"/>
    <sheet name="Products" sheetId="2" r:id="rId2"/>
    <sheet name="MonthlySummary" sheetId="3" r:id="rId3"/>
  </sheets>
  <calcPr calcId="191029"/>
</workbook>
</file>

<file path=xl/calcChain.xml><?xml version="1.0" encoding="utf-8"?>
<calcChain xmlns="http://schemas.openxmlformats.org/spreadsheetml/2006/main">
  <c r="F7" i="3" l="1"/>
  <c r="D7" i="3"/>
  <c r="E7" i="3" s="1"/>
  <c r="B7" i="3"/>
  <c r="F6" i="3"/>
  <c r="D6" i="3"/>
  <c r="F5" i="3"/>
  <c r="D5" i="3"/>
  <c r="E5" i="3" s="1"/>
  <c r="B5" i="3"/>
  <c r="F4" i="3"/>
  <c r="D4" i="3"/>
  <c r="F3" i="3"/>
  <c r="D3" i="3"/>
  <c r="F2" i="3"/>
  <c r="F8" i="3" s="1"/>
  <c r="D2" i="3"/>
  <c r="D8" i="3" s="1"/>
  <c r="K121" i="1"/>
  <c r="M121" i="1" s="1"/>
  <c r="M120" i="1"/>
  <c r="K120" i="1"/>
  <c r="M119" i="1"/>
  <c r="K119" i="1"/>
  <c r="K118" i="1"/>
  <c r="M118" i="1" s="1"/>
  <c r="K117" i="1"/>
  <c r="M117" i="1" s="1"/>
  <c r="K116" i="1"/>
  <c r="M116" i="1" s="1"/>
  <c r="K115" i="1"/>
  <c r="M115" i="1" s="1"/>
  <c r="K114" i="1"/>
  <c r="M114" i="1" s="1"/>
  <c r="K113" i="1"/>
  <c r="M113" i="1" s="1"/>
  <c r="M112" i="1"/>
  <c r="K112" i="1"/>
  <c r="M111" i="1"/>
  <c r="K111" i="1"/>
  <c r="K110" i="1"/>
  <c r="M110" i="1" s="1"/>
  <c r="K109" i="1"/>
  <c r="M109" i="1" s="1"/>
  <c r="K108" i="1"/>
  <c r="M108" i="1" s="1"/>
  <c r="K107" i="1"/>
  <c r="M107" i="1" s="1"/>
  <c r="K106" i="1"/>
  <c r="M106" i="1" s="1"/>
  <c r="K105" i="1"/>
  <c r="M105" i="1" s="1"/>
  <c r="M104" i="1"/>
  <c r="K104" i="1"/>
  <c r="M103" i="1"/>
  <c r="K103" i="1"/>
  <c r="K102" i="1"/>
  <c r="M102" i="1" s="1"/>
  <c r="K101" i="1"/>
  <c r="M101" i="1" s="1"/>
  <c r="K100" i="1"/>
  <c r="M100" i="1" s="1"/>
  <c r="K99" i="1"/>
  <c r="M99" i="1" s="1"/>
  <c r="K98" i="1"/>
  <c r="M98" i="1" s="1"/>
  <c r="K97" i="1"/>
  <c r="M97" i="1" s="1"/>
  <c r="M96" i="1"/>
  <c r="K96" i="1"/>
  <c r="M95" i="1"/>
  <c r="K95" i="1"/>
  <c r="K94" i="1"/>
  <c r="M94" i="1" s="1"/>
  <c r="K93" i="1"/>
  <c r="M93" i="1" s="1"/>
  <c r="K92" i="1"/>
  <c r="M92" i="1" s="1"/>
  <c r="K91" i="1"/>
  <c r="M91" i="1" s="1"/>
  <c r="K90" i="1"/>
  <c r="M90" i="1" s="1"/>
  <c r="K89" i="1"/>
  <c r="M89" i="1" s="1"/>
  <c r="M88" i="1"/>
  <c r="K88" i="1"/>
  <c r="M87" i="1"/>
  <c r="K87" i="1"/>
  <c r="K86" i="1"/>
  <c r="M86" i="1" s="1"/>
  <c r="K85" i="1"/>
  <c r="M85" i="1" s="1"/>
  <c r="K84" i="1"/>
  <c r="M84" i="1" s="1"/>
  <c r="K83" i="1"/>
  <c r="M83" i="1" s="1"/>
  <c r="K82" i="1"/>
  <c r="M82" i="1" s="1"/>
  <c r="K81" i="1"/>
  <c r="M81" i="1" s="1"/>
  <c r="M80" i="1"/>
  <c r="K80" i="1"/>
  <c r="M79" i="1"/>
  <c r="K79" i="1"/>
  <c r="K78" i="1"/>
  <c r="M78" i="1" s="1"/>
  <c r="K77" i="1"/>
  <c r="M77" i="1" s="1"/>
  <c r="K76" i="1"/>
  <c r="M76" i="1" s="1"/>
  <c r="K75" i="1"/>
  <c r="M75" i="1" s="1"/>
  <c r="K74" i="1"/>
  <c r="M74" i="1" s="1"/>
  <c r="K73" i="1"/>
  <c r="M73" i="1" s="1"/>
  <c r="M72" i="1"/>
  <c r="K72" i="1"/>
  <c r="M71" i="1"/>
  <c r="K71" i="1"/>
  <c r="K70" i="1"/>
  <c r="M70" i="1" s="1"/>
  <c r="K69" i="1"/>
  <c r="M69" i="1" s="1"/>
  <c r="K68" i="1"/>
  <c r="M68" i="1" s="1"/>
  <c r="K67" i="1"/>
  <c r="M67" i="1" s="1"/>
  <c r="K66" i="1"/>
  <c r="M66" i="1" s="1"/>
  <c r="K65" i="1"/>
  <c r="M65" i="1" s="1"/>
  <c r="M64" i="1"/>
  <c r="K64" i="1"/>
  <c r="M63" i="1"/>
  <c r="K63" i="1"/>
  <c r="K62" i="1"/>
  <c r="M62" i="1" s="1"/>
  <c r="K61" i="1"/>
  <c r="M61" i="1" s="1"/>
  <c r="K60" i="1"/>
  <c r="M60" i="1" s="1"/>
  <c r="K59" i="1"/>
  <c r="M59" i="1" s="1"/>
  <c r="K58" i="1"/>
  <c r="M58" i="1" s="1"/>
  <c r="K57" i="1"/>
  <c r="M57" i="1" s="1"/>
  <c r="M56" i="1"/>
  <c r="K56" i="1"/>
  <c r="M55" i="1"/>
  <c r="K55" i="1"/>
  <c r="K54" i="1"/>
  <c r="M54" i="1" s="1"/>
  <c r="K53" i="1"/>
  <c r="M53" i="1" s="1"/>
  <c r="K52" i="1"/>
  <c r="M52" i="1" s="1"/>
  <c r="K51" i="1"/>
  <c r="M51" i="1" s="1"/>
  <c r="K50" i="1"/>
  <c r="M50" i="1" s="1"/>
  <c r="K49" i="1"/>
  <c r="M49" i="1" s="1"/>
  <c r="M48" i="1"/>
  <c r="K48" i="1"/>
  <c r="M47" i="1"/>
  <c r="K47" i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M40" i="1"/>
  <c r="K40" i="1"/>
  <c r="M39" i="1"/>
  <c r="K39" i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M32" i="1"/>
  <c r="K32" i="1"/>
  <c r="M31" i="1"/>
  <c r="K31" i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M24" i="1"/>
  <c r="K24" i="1"/>
  <c r="M23" i="1"/>
  <c r="K23" i="1"/>
  <c r="K22" i="1"/>
  <c r="M22" i="1" s="1"/>
  <c r="K21" i="1"/>
  <c r="M21" i="1" s="1"/>
  <c r="K20" i="1"/>
  <c r="M20" i="1" s="1"/>
  <c r="C4" i="3" s="1"/>
  <c r="K19" i="1"/>
  <c r="M19" i="1" s="1"/>
  <c r="K18" i="1"/>
  <c r="M18" i="1" s="1"/>
  <c r="K17" i="1"/>
  <c r="M17" i="1" s="1"/>
  <c r="M16" i="1"/>
  <c r="K16" i="1"/>
  <c r="M15" i="1"/>
  <c r="K15" i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M8" i="1"/>
  <c r="K8" i="1"/>
  <c r="M7" i="1"/>
  <c r="C7" i="3" s="1"/>
  <c r="K7" i="1"/>
  <c r="K6" i="1"/>
  <c r="M6" i="1" s="1"/>
  <c r="C6" i="3" s="1"/>
  <c r="K5" i="1"/>
  <c r="M5" i="1" s="1"/>
  <c r="K4" i="1"/>
  <c r="M4" i="1" s="1"/>
  <c r="K3" i="1"/>
  <c r="M3" i="1" s="1"/>
  <c r="K2" i="1"/>
  <c r="M2" i="1" s="1"/>
  <c r="C3" i="3" l="1"/>
  <c r="C2" i="3"/>
  <c r="C5" i="3"/>
  <c r="B6" i="3"/>
  <c r="E6" i="3" s="1"/>
  <c r="B4" i="3"/>
  <c r="E4" i="3" s="1"/>
  <c r="B3" i="3"/>
  <c r="E3" i="3" s="1"/>
  <c r="B2" i="3"/>
  <c r="B8" i="3" l="1"/>
  <c r="E8" i="3" s="1"/>
  <c r="E2" i="3"/>
  <c r="C8" i="3"/>
</calcChain>
</file>

<file path=xl/sharedStrings.xml><?xml version="1.0" encoding="utf-8"?>
<sst xmlns="http://schemas.openxmlformats.org/spreadsheetml/2006/main" count="1143" uniqueCount="185">
  <si>
    <t>OrderID</t>
  </si>
  <si>
    <t>OrderDate</t>
  </si>
  <si>
    <t>Region</t>
  </si>
  <si>
    <t>Salesperson</t>
  </si>
  <si>
    <t>ProductID</t>
  </si>
  <si>
    <t>ProductName</t>
  </si>
  <si>
    <t>Category</t>
  </si>
  <si>
    <t>UnitPrice</t>
  </si>
  <si>
    <t>Quantity</t>
  </si>
  <si>
    <t>DiscountRate</t>
  </si>
  <si>
    <t>Revenue</t>
  </si>
  <si>
    <t>UnitCost</t>
  </si>
  <si>
    <t>Profit</t>
  </si>
  <si>
    <t>CustomerType</t>
  </si>
  <si>
    <t>Channel</t>
  </si>
  <si>
    <t>Returned</t>
  </si>
  <si>
    <t>Notes</t>
  </si>
  <si>
    <t>ORD-0001</t>
  </si>
  <si>
    <t>North</t>
  </si>
  <si>
    <t>Leo</t>
  </si>
  <si>
    <t>P002</t>
  </si>
  <si>
    <t>DeskHub 8-in-1</t>
  </si>
  <si>
    <t>Electronics</t>
  </si>
  <si>
    <t>Enterprise</t>
  </si>
  <si>
    <t>Online</t>
  </si>
  <si>
    <t>No</t>
  </si>
  <si>
    <t>ORD-0002</t>
  </si>
  <si>
    <t>East</t>
  </si>
  <si>
    <t>Alice</t>
  </si>
  <si>
    <t>P007</t>
  </si>
  <si>
    <t>CableKit Max</t>
  </si>
  <si>
    <t>Accessories</t>
  </si>
  <si>
    <t>New</t>
  </si>
  <si>
    <t>Distributor</t>
  </si>
  <si>
    <t>Priority customer</t>
  </si>
  <si>
    <t>ORD-0003</t>
  </si>
  <si>
    <t>West</t>
  </si>
  <si>
    <t>Ryan</t>
  </si>
  <si>
    <t>ORD-0004</t>
  </si>
  <si>
    <t>Kevin</t>
  </si>
  <si>
    <t>P006</t>
  </si>
  <si>
    <t>TravelDock Lite</t>
  </si>
  <si>
    <t>ORD-0005</t>
  </si>
  <si>
    <t>P008</t>
  </si>
  <si>
    <t>MonitorArm X</t>
  </si>
  <si>
    <t>Office</t>
  </si>
  <si>
    <t>Existing</t>
  </si>
  <si>
    <t>ORD-0006</t>
  </si>
  <si>
    <t>P004</t>
  </si>
  <si>
    <t>CloudKeyboard Mini</t>
  </si>
  <si>
    <t>Direct Sales</t>
  </si>
  <si>
    <t>ORD-0007</t>
  </si>
  <si>
    <t>P005</t>
  </si>
  <si>
    <t>FocusLamp</t>
  </si>
  <si>
    <t>ORD-0008</t>
  </si>
  <si>
    <t>South</t>
  </si>
  <si>
    <t>Mia</t>
  </si>
  <si>
    <t>ORD-0009</t>
  </si>
  <si>
    <t>ORD-0010</t>
  </si>
  <si>
    <t>ORD-0011</t>
  </si>
  <si>
    <t>ORD-0012</t>
  </si>
  <si>
    <t>P001</t>
  </si>
  <si>
    <t>AirMouse Pro</t>
  </si>
  <si>
    <t>Yes</t>
  </si>
  <si>
    <t>Customer changed mind</t>
  </si>
  <si>
    <t>ORD-0013</t>
  </si>
  <si>
    <t>ORD-0014</t>
  </si>
  <si>
    <t>P003</t>
  </si>
  <si>
    <t>ErgoStand S2</t>
  </si>
  <si>
    <t>ORD-0015</t>
  </si>
  <si>
    <t>ORD-0016</t>
  </si>
  <si>
    <t>ORD-0017</t>
  </si>
  <si>
    <t>ORD-0018</t>
  </si>
  <si>
    <t>Jason</t>
  </si>
  <si>
    <t>ORD-0019</t>
  </si>
  <si>
    <t>ORD-0020</t>
  </si>
  <si>
    <t>ORD-0021</t>
  </si>
  <si>
    <t>ORD-0022</t>
  </si>
  <si>
    <t>Wrong model ordered</t>
  </si>
  <si>
    <t>ORD-0023</t>
  </si>
  <si>
    <t>ORD-0024</t>
  </si>
  <si>
    <t>ORD-0025</t>
  </si>
  <si>
    <t>ORD-0026</t>
  </si>
  <si>
    <t>ORD-0027</t>
  </si>
  <si>
    <t>ORD-0028</t>
  </si>
  <si>
    <t>Nina</t>
  </si>
  <si>
    <t>ORD-0029</t>
  </si>
  <si>
    <t>ORD-0030</t>
  </si>
  <si>
    <t>ORD-0031</t>
  </si>
  <si>
    <t>ORD-0032</t>
  </si>
  <si>
    <t>Emma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</si>
  <si>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</si>
  <si>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</si>
  <si>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</si>
  <si>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</si>
  <si>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</si>
  <si>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</si>
  <si>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</si>
  <si>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</si>
  <si>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</si>
  <si>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</si>
  <si>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</si>
  <si>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</si>
  <si>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</si>
  <si>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</si>
  <si>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</si>
  <si>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</si>
  <si>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</si>
  <si>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</si>
  <si>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</si>
  <si>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</si>
  <si>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</si>
  <si>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</si>
  <si>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</si>
  <si>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</si>
  <si>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</si>
  <si>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</si>
  <si>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</si>
  <si>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</si>
  <si>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</si>
  <si>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</si>
  <si>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</si>
  <si>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</si>
  <si>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</si>
  <si>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</si>
  <si>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</si>
  <si>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</si>
  <si>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</si>
  <si>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</si>
  <si>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</si>
  <si>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</si>
  <si>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</si>
  <si>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</si>
  <si>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</si>
  <si>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</si>
  <si>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</si>
  <si>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</si>
  <si>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</si>
  <si>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</si>
  <si>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</si>
  <si>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</si>
  <si>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</si>
  <si>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</si>
  <si>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</si>
  <si>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</si>
  <si>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</si>
  <si>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</si>
  <si>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</si>
  <si>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</si>
  <si>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</si>
  <si>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</si>
  <si>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</si>
  <si>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</si>
  <si>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</si>
  <si>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</si>
  <si>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</si>
  <si>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</si>
  <si>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</si>
  <si>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</si>
  <si>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</si>
  <si>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</si>
  <si>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</si>
  <si>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</si>
  <si>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</si>
  <si>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</si>
  <si>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</si>
  <si>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</si>
  <si>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</si>
  <si>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</si>
  <si>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</si>
  <si>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</si>
  <si>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</si>
  <si>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</si>
  <si>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</si>
  <si>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</si>
  <si>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</si>
  <si>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</si>
  <si>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</si>
  <si>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</si>
  <si>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ListPrice</t>
  </si>
  <si>
    <t>Month</t>
  </si>
  <si>
    <t>Orders</t>
  </si>
  <si>
    <t>Avg Order Value</t>
  </si>
  <si>
    <t>Returned Orders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</si>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</sst>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\¥#,##0.00"/>
    <numFmt numFmtId="178" formatCode="yyyy\-mm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177" fontId="0" fillId="0" borderId="0" xfId="1" applyNumberFormat="1" applyFont="1"/>
    <xf numFmtId="9" fontId="0" fillId="0" borderId="0" xfId="1" applyNumberFormat="1" applyFont="1"/>
    <xf numFmtId="0" fontId="0" fillId="0" borderId="0" xfId="1" applyFont="1" applyAlignment="1">
      <alignment wrapText="1"/>
    </xf>
    <xf numFmtId="0" fontId="2" fillId="3" borderId="0" xfId="1" applyFont="1" applyFill="1"/>
    <xf numFmtId="178" fontId="0" fillId="0" borderId="0" xfId="1" applyNumberFormat="1" applyFont="1"/>
    <xf numFmtId="177" fontId="2" fillId="3" borderId="0" xfId="1" applyNumberFormat="1" applyFont="1" applyFill="1"/>
  </cellXfs>
  <cellStyles count="2">
    <cellStyle name="Normal" xfId="1" xr:uid="{00000000-0005-0000-0000-000000000000}"/>
    <cellStyle name="常规" xfId="0" builtinId="0"/>
  </cellStyles>
  <dxfs count="1"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Monthly Revenue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marker>
            <c:symbol val="none"/>
          </c:marker>
          <c:cat>
            <c:numRef>
              <c:f>MonthlySummary!$A$2:$A$7</c:f>
              <c:numCache>
                <c:formatCode>yyyy\-mm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MonthlySummary!$B$2:$B$7</c:f>
              <c:numCache>
                <c:formatCode>\¥#,##0.00</c:formatCode>
                <c:ptCount val="6"/>
                <c:pt idx="0">
                  <c:v>25674.34</c:v>
                </c:pt>
                <c:pt idx="1">
                  <c:v>38158.579999999994</c:v>
                </c:pt>
                <c:pt idx="2">
                  <c:v>47245.48</c:v>
                </c:pt>
                <c:pt idx="3">
                  <c:v>36715.240000000005</c:v>
                </c:pt>
                <c:pt idx="4">
                  <c:v>51838.98</c:v>
                </c:pt>
                <c:pt idx="5">
                  <c:v>46031.15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65-4064-82E8-FFFD069A2C62}"/>
            </c:ext>
          </c:extLst>
        </c:ser>
        <c:ser>
          <c:idx val="1"/>
          <c:order val="1"/>
          <c:tx>
            <c:v>Profit</c:v>
          </c:tx>
          <c:marker>
            <c:symbol val="none"/>
          </c:marker>
          <c:cat>
            <c:numRef>
              <c:f>MonthlySummary!$A$2:$A$7</c:f>
              <c:numCache>
                <c:formatCode>yyyy\-mm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MonthlySummary!$C$2:$C$7</c:f>
              <c:numCache>
                <c:formatCode>\¥#,##0.00</c:formatCode>
                <c:ptCount val="6"/>
                <c:pt idx="0">
                  <c:v>11199.34</c:v>
                </c:pt>
                <c:pt idx="1">
                  <c:v>16381.58</c:v>
                </c:pt>
                <c:pt idx="2">
                  <c:v>19579.48</c:v>
                </c:pt>
                <c:pt idx="3">
                  <c:v>16572.240000000002</c:v>
                </c:pt>
                <c:pt idx="4">
                  <c:v>21174.980000000003</c:v>
                </c:pt>
                <c:pt idx="5">
                  <c:v>20181.149999999998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65-4064-82E8-FFFD069A2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¥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Q121" totalsRowShown="0">
  <tableColumns count="17">
    <tableColumn id="1" xr3:uid="{00000000-0010-0000-0000-000001000000}" name="OrderID"/>
    <tableColumn id="2" xr3:uid="{00000000-0010-0000-0000-000002000000}" name="OrderDate"/>
    <tableColumn id="3" xr3:uid="{00000000-0010-0000-0000-000003000000}" name="Region"/>
    <tableColumn id="4" xr3:uid="{00000000-0010-0000-0000-000004000000}" name="Salesperson"/>
    <tableColumn id="5" xr3:uid="{00000000-0010-0000-0000-000005000000}" name="ProductID"/>
    <tableColumn id="6" xr3:uid="{00000000-0010-0000-0000-000006000000}" name="ProductName"/>
    <tableColumn id="7" xr3:uid="{00000000-0010-0000-0000-000007000000}" name="Category"/>
    <tableColumn id="8" xr3:uid="{00000000-0010-0000-0000-000008000000}" name="UnitPrice"/>
    <tableColumn id="9" xr3:uid="{00000000-0010-0000-0000-000009000000}" name="Quantity"/>
    <tableColumn id="10" xr3:uid="{00000000-0010-0000-0000-00000A000000}" name="DiscountRate"/>
    <tableColumn id="11" xr3:uid="{00000000-0010-0000-0000-00000B000000}" name="Revenue"/>
    <tableColumn id="12" xr3:uid="{00000000-0010-0000-0000-00000C000000}" name="UnitCost"/>
    <tableColumn id="13" xr3:uid="{00000000-0010-0000-0000-00000D000000}" name="Profit"/>
    <tableColumn id="14" xr3:uid="{00000000-0010-0000-0000-00000E000000}" name="CustomerType"/>
    <tableColumn id="15" xr3:uid="{00000000-0010-0000-0000-00000F000000}" name="Channel"/>
    <tableColumn id="16" xr3:uid="{00000000-0010-0000-0000-000010000000}" name="Returned"/>
    <tableColumn id="17" xr3:uid="{00000000-0010-0000-0000-000011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Table" displayName="ProductsTable" ref="A1:E9" totalsRowShown="0">
  <tableColumns count="5">
    <tableColumn id="1" xr3:uid="{00000000-0010-0000-0100-000001000000}" name="ProductID"/>
    <tableColumn id="2" xr3:uid="{00000000-0010-0000-0100-000002000000}" name="ProductName"/>
    <tableColumn id="3" xr3:uid="{00000000-0010-0000-0100-000003000000}" name="Category"/>
    <tableColumn id="4" xr3:uid="{00000000-0010-0000-0100-000004000000}" name="ListPrice"/>
    <tableColumn id="5" xr3:uid="{00000000-0010-0000-0100-000005000000}" name="Unit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tabSelected="1" workbookViewId="0"/>
  </sheetViews>
  <sheetFormatPr defaultRowHeight="14.25"/>
  <cols>
    <col min="1" max="1" width="13" customWidth="1"/>
    <col min="2" max="2" width="12" customWidth="1"/>
    <col min="3" max="3" width="10" customWidth="1"/>
    <col min="4" max="4" width="13" customWidth="1"/>
    <col min="5" max="5" width="11" customWidth="1"/>
    <col min="6" max="6" width="20" customWidth="1"/>
    <col min="7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12" customWidth="1"/>
    <col min="13" max="14" width="14" customWidth="1"/>
    <col min="15" max="15" width="15" customWidth="1"/>
    <col min="16" max="16" width="10" customWidth="1"/>
    <col min="17" max="17" width="24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46029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3">
        <v>219</v>
      </c>
      <c r="I2">
        <v>8</v>
      </c>
      <c r="J2" s="4">
        <v>0</v>
      </c>
      <c r="K2" s="3">
        <f t="shared" ref="K2:K33" si="0">H2*I2*(1-J2)</f>
        <v>1752</v>
      </c>
      <c r="L2" s="3">
        <v>121</v>
      </c>
      <c r="M2" s="3">
        <f t="shared" ref="M2:M33" si="1">K2-L2*I2</f>
        <v>784</v>
      </c>
      <c r="N2" t="s">
        <v>23</v>
      </c>
      <c r="O2" t="s">
        <v>24</v>
      </c>
      <c r="P2" t="s">
        <v>25</v>
      </c>
      <c r="Q2" s="5"/>
    </row>
    <row r="3" spans="1:17">
      <c r="A3" t="s">
        <v>26</v>
      </c>
      <c r="B3" s="2">
        <v>46031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s="3">
        <v>79</v>
      </c>
      <c r="I3">
        <v>7</v>
      </c>
      <c r="J3" s="4">
        <v>0</v>
      </c>
      <c r="K3" s="3">
        <f t="shared" si="0"/>
        <v>553</v>
      </c>
      <c r="L3" s="3">
        <v>28</v>
      </c>
      <c r="M3" s="3">
        <f t="shared" si="1"/>
        <v>357</v>
      </c>
      <c r="N3" t="s">
        <v>32</v>
      </c>
      <c r="O3" t="s">
        <v>33</v>
      </c>
      <c r="P3" t="s">
        <v>25</v>
      </c>
      <c r="Q3" s="5" t="s">
        <v>34</v>
      </c>
    </row>
    <row r="4" spans="1:17">
      <c r="A4" t="s">
        <v>35</v>
      </c>
      <c r="B4" s="2">
        <v>46079</v>
      </c>
      <c r="C4" t="s">
        <v>36</v>
      </c>
      <c r="D4" t="s">
        <v>37</v>
      </c>
      <c r="E4" t="s">
        <v>29</v>
      </c>
      <c r="F4" t="s">
        <v>30</v>
      </c>
      <c r="G4" t="s">
        <v>31</v>
      </c>
      <c r="H4" s="3">
        <v>79</v>
      </c>
      <c r="I4">
        <v>1</v>
      </c>
      <c r="J4" s="4">
        <v>0</v>
      </c>
      <c r="K4" s="3">
        <f t="shared" si="0"/>
        <v>79</v>
      </c>
      <c r="L4" s="3">
        <v>28</v>
      </c>
      <c r="M4" s="3">
        <f t="shared" si="1"/>
        <v>51</v>
      </c>
      <c r="N4" t="s">
        <v>32</v>
      </c>
      <c r="O4" t="s">
        <v>24</v>
      </c>
      <c r="P4" t="s">
        <v>25</v>
      </c>
      <c r="Q4" s="5"/>
    </row>
    <row r="5" spans="1:17">
      <c r="A5" t="s">
        <v>38</v>
      </c>
      <c r="B5" s="2">
        <v>46049</v>
      </c>
      <c r="C5" t="s">
        <v>27</v>
      </c>
      <c r="D5" t="s">
        <v>39</v>
      </c>
      <c r="E5" t="s">
        <v>40</v>
      </c>
      <c r="F5" t="s">
        <v>41</v>
      </c>
      <c r="G5" t="s">
        <v>22</v>
      </c>
      <c r="H5" s="3">
        <v>129</v>
      </c>
      <c r="I5">
        <v>4</v>
      </c>
      <c r="J5" s="4">
        <v>0.05</v>
      </c>
      <c r="K5" s="3">
        <f t="shared" si="0"/>
        <v>490.2</v>
      </c>
      <c r="L5" s="3">
        <v>67</v>
      </c>
      <c r="M5" s="3">
        <f t="shared" si="1"/>
        <v>222.2</v>
      </c>
      <c r="N5" t="s">
        <v>32</v>
      </c>
      <c r="O5" t="s">
        <v>33</v>
      </c>
      <c r="P5" t="s">
        <v>25</v>
      </c>
      <c r="Q5" s="5"/>
    </row>
    <row r="6" spans="1:17">
      <c r="A6" t="s">
        <v>42</v>
      </c>
      <c r="B6" s="2">
        <v>46160</v>
      </c>
      <c r="C6" t="s">
        <v>27</v>
      </c>
      <c r="D6" t="s">
        <v>39</v>
      </c>
      <c r="E6" t="s">
        <v>43</v>
      </c>
      <c r="F6" t="s">
        <v>44</v>
      </c>
      <c r="G6" t="s">
        <v>45</v>
      </c>
      <c r="H6" s="3">
        <v>269</v>
      </c>
      <c r="I6">
        <v>3</v>
      </c>
      <c r="J6" s="4">
        <v>0.1</v>
      </c>
      <c r="K6" s="3">
        <f t="shared" si="0"/>
        <v>726.30000000000007</v>
      </c>
      <c r="L6" s="3">
        <v>145</v>
      </c>
      <c r="M6" s="3">
        <f t="shared" si="1"/>
        <v>291.30000000000007</v>
      </c>
      <c r="N6" t="s">
        <v>46</v>
      </c>
      <c r="O6" t="s">
        <v>33</v>
      </c>
      <c r="P6" t="s">
        <v>25</v>
      </c>
      <c r="Q6" s="5"/>
    </row>
    <row r="7" spans="1:17">
      <c r="A7" t="s">
        <v>47</v>
      </c>
      <c r="B7" s="2">
        <v>46203</v>
      </c>
      <c r="C7" t="s">
        <v>27</v>
      </c>
      <c r="D7" t="s">
        <v>28</v>
      </c>
      <c r="E7" t="s">
        <v>48</v>
      </c>
      <c r="F7" t="s">
        <v>49</v>
      </c>
      <c r="G7" t="s">
        <v>22</v>
      </c>
      <c r="H7" s="3">
        <v>399</v>
      </c>
      <c r="I7">
        <v>8</v>
      </c>
      <c r="J7" s="4">
        <v>0.05</v>
      </c>
      <c r="K7" s="3">
        <f t="shared" si="0"/>
        <v>3032.3999999999996</v>
      </c>
      <c r="L7" s="3">
        <v>230</v>
      </c>
      <c r="M7" s="3">
        <f t="shared" si="1"/>
        <v>1192.3999999999996</v>
      </c>
      <c r="N7" t="s">
        <v>32</v>
      </c>
      <c r="O7" t="s">
        <v>50</v>
      </c>
      <c r="P7" t="s">
        <v>25</v>
      </c>
      <c r="Q7" s="5"/>
    </row>
    <row r="8" spans="1:17">
      <c r="A8" t="s">
        <v>51</v>
      </c>
      <c r="B8" s="2">
        <v>46139</v>
      </c>
      <c r="C8" t="s">
        <v>18</v>
      </c>
      <c r="D8" t="s">
        <v>19</v>
      </c>
      <c r="E8" t="s">
        <v>52</v>
      </c>
      <c r="F8" t="s">
        <v>53</v>
      </c>
      <c r="G8" t="s">
        <v>45</v>
      </c>
      <c r="H8" s="3">
        <v>189</v>
      </c>
      <c r="I8">
        <v>12</v>
      </c>
      <c r="J8" s="4">
        <v>0.05</v>
      </c>
      <c r="K8" s="3">
        <f t="shared" si="0"/>
        <v>2154.6</v>
      </c>
      <c r="L8" s="3">
        <v>91</v>
      </c>
      <c r="M8" s="3">
        <f t="shared" si="1"/>
        <v>1062.5999999999999</v>
      </c>
      <c r="N8" t="s">
        <v>23</v>
      </c>
      <c r="O8" t="s">
        <v>33</v>
      </c>
      <c r="P8" t="s">
        <v>25</v>
      </c>
      <c r="Q8" s="5"/>
    </row>
    <row r="9" spans="1:17">
      <c r="A9" t="s">
        <v>54</v>
      </c>
      <c r="B9" s="2">
        <v>46178</v>
      </c>
      <c r="C9" t="s">
        <v>55</v>
      </c>
      <c r="D9" t="s">
        <v>56</v>
      </c>
      <c r="E9" t="s">
        <v>20</v>
      </c>
      <c r="F9" t="s">
        <v>21</v>
      </c>
      <c r="G9" t="s">
        <v>22</v>
      </c>
      <c r="H9" s="3">
        <v>219</v>
      </c>
      <c r="I9">
        <v>6</v>
      </c>
      <c r="J9" s="4">
        <v>0.08</v>
      </c>
      <c r="K9" s="3">
        <f t="shared" si="0"/>
        <v>1208.8800000000001</v>
      </c>
      <c r="L9" s="3">
        <v>121</v>
      </c>
      <c r="M9" s="3">
        <f t="shared" si="1"/>
        <v>482.88000000000011</v>
      </c>
      <c r="N9" t="s">
        <v>23</v>
      </c>
      <c r="O9" t="s">
        <v>33</v>
      </c>
      <c r="P9" t="s">
        <v>25</v>
      </c>
      <c r="Q9" s="5"/>
    </row>
    <row r="10" spans="1:17">
      <c r="A10" t="s">
        <v>57</v>
      </c>
      <c r="B10" s="2">
        <v>46198</v>
      </c>
      <c r="C10" t="s">
        <v>18</v>
      </c>
      <c r="D10" t="s">
        <v>19</v>
      </c>
      <c r="E10" t="s">
        <v>48</v>
      </c>
      <c r="F10" t="s">
        <v>49</v>
      </c>
      <c r="G10" t="s">
        <v>22</v>
      </c>
      <c r="H10" s="3">
        <v>399</v>
      </c>
      <c r="I10">
        <v>8</v>
      </c>
      <c r="J10" s="4">
        <v>0</v>
      </c>
      <c r="K10" s="3">
        <f t="shared" si="0"/>
        <v>3192</v>
      </c>
      <c r="L10" s="3">
        <v>230</v>
      </c>
      <c r="M10" s="3">
        <f t="shared" si="1"/>
        <v>1352</v>
      </c>
      <c r="N10" t="s">
        <v>32</v>
      </c>
      <c r="O10" t="s">
        <v>24</v>
      </c>
      <c r="P10" t="s">
        <v>25</v>
      </c>
      <c r="Q10" s="5"/>
    </row>
    <row r="11" spans="1:17">
      <c r="A11" t="s">
        <v>58</v>
      </c>
      <c r="B11" s="2">
        <v>46077</v>
      </c>
      <c r="C11" t="s">
        <v>36</v>
      </c>
      <c r="D11" t="s">
        <v>37</v>
      </c>
      <c r="E11" t="s">
        <v>40</v>
      </c>
      <c r="F11" t="s">
        <v>41</v>
      </c>
      <c r="G11" t="s">
        <v>22</v>
      </c>
      <c r="H11" s="3">
        <v>129</v>
      </c>
      <c r="I11">
        <v>15</v>
      </c>
      <c r="J11" s="4">
        <v>0</v>
      </c>
      <c r="K11" s="3">
        <f t="shared" si="0"/>
        <v>1935</v>
      </c>
      <c r="L11" s="3">
        <v>67</v>
      </c>
      <c r="M11" s="3">
        <f t="shared" si="1"/>
        <v>930</v>
      </c>
      <c r="N11" t="s">
        <v>23</v>
      </c>
      <c r="O11" t="s">
        <v>33</v>
      </c>
      <c r="P11" t="s">
        <v>25</v>
      </c>
      <c r="Q11" s="5"/>
    </row>
    <row r="12" spans="1:17">
      <c r="A12" t="s">
        <v>59</v>
      </c>
      <c r="B12" s="2">
        <v>46172</v>
      </c>
      <c r="C12" t="s">
        <v>36</v>
      </c>
      <c r="D12" t="s">
        <v>37</v>
      </c>
      <c r="E12" t="s">
        <v>52</v>
      </c>
      <c r="F12" t="s">
        <v>53</v>
      </c>
      <c r="G12" t="s">
        <v>45</v>
      </c>
      <c r="H12" s="3">
        <v>189</v>
      </c>
      <c r="I12">
        <v>12</v>
      </c>
      <c r="J12" s="4">
        <v>0</v>
      </c>
      <c r="K12" s="3">
        <f t="shared" si="0"/>
        <v>2268</v>
      </c>
      <c r="L12" s="3">
        <v>91</v>
      </c>
      <c r="M12" s="3">
        <f t="shared" si="1"/>
        <v>1176</v>
      </c>
      <c r="N12" t="s">
        <v>46</v>
      </c>
      <c r="O12" t="s">
        <v>24</v>
      </c>
      <c r="P12" t="s">
        <v>25</v>
      </c>
      <c r="Q12" s="5"/>
    </row>
    <row r="13" spans="1:17">
      <c r="A13" t="s">
        <v>60</v>
      </c>
      <c r="B13" s="2">
        <v>46051</v>
      </c>
      <c r="C13" t="s">
        <v>55</v>
      </c>
      <c r="D13" t="s">
        <v>56</v>
      </c>
      <c r="E13" t="s">
        <v>61</v>
      </c>
      <c r="F13" t="s">
        <v>62</v>
      </c>
      <c r="G13" t="s">
        <v>22</v>
      </c>
      <c r="H13" s="3">
        <v>299</v>
      </c>
      <c r="I13">
        <v>14</v>
      </c>
      <c r="J13" s="4">
        <v>0.1</v>
      </c>
      <c r="K13" s="3">
        <f t="shared" si="0"/>
        <v>3767.4</v>
      </c>
      <c r="L13" s="3">
        <v>168</v>
      </c>
      <c r="M13" s="3">
        <f t="shared" si="1"/>
        <v>1415.4</v>
      </c>
      <c r="N13" t="s">
        <v>23</v>
      </c>
      <c r="O13" t="s">
        <v>50</v>
      </c>
      <c r="P13" t="s">
        <v>63</v>
      </c>
      <c r="Q13" s="5" t="s">
        <v>64</v>
      </c>
    </row>
    <row r="14" spans="1:17">
      <c r="A14" t="s">
        <v>65</v>
      </c>
      <c r="B14" s="2">
        <v>46164</v>
      </c>
      <c r="C14" t="s">
        <v>27</v>
      </c>
      <c r="D14" t="s">
        <v>28</v>
      </c>
      <c r="E14" t="s">
        <v>52</v>
      </c>
      <c r="F14" t="s">
        <v>53</v>
      </c>
      <c r="G14" t="s">
        <v>45</v>
      </c>
      <c r="H14" s="3">
        <v>189</v>
      </c>
      <c r="I14">
        <v>18</v>
      </c>
      <c r="J14" s="4">
        <v>0.05</v>
      </c>
      <c r="K14" s="3">
        <f t="shared" si="0"/>
        <v>3231.8999999999996</v>
      </c>
      <c r="L14" s="3">
        <v>91</v>
      </c>
      <c r="M14" s="3">
        <f t="shared" si="1"/>
        <v>1593.8999999999996</v>
      </c>
      <c r="N14" t="s">
        <v>46</v>
      </c>
      <c r="O14" t="s">
        <v>50</v>
      </c>
      <c r="P14" t="s">
        <v>25</v>
      </c>
      <c r="Q14" s="5"/>
    </row>
    <row r="15" spans="1:17">
      <c r="A15" t="s">
        <v>66</v>
      </c>
      <c r="B15" s="2">
        <v>46139</v>
      </c>
      <c r="C15" t="s">
        <v>27</v>
      </c>
      <c r="D15" t="s">
        <v>39</v>
      </c>
      <c r="E15" t="s">
        <v>67</v>
      </c>
      <c r="F15" t="s">
        <v>68</v>
      </c>
      <c r="G15" t="s">
        <v>45</v>
      </c>
      <c r="H15" s="3">
        <v>159</v>
      </c>
      <c r="I15">
        <v>17</v>
      </c>
      <c r="J15" s="4">
        <v>0</v>
      </c>
      <c r="K15" s="3">
        <f t="shared" si="0"/>
        <v>2703</v>
      </c>
      <c r="L15" s="3">
        <v>78</v>
      </c>
      <c r="M15" s="3">
        <f t="shared" si="1"/>
        <v>1377</v>
      </c>
      <c r="N15" t="s">
        <v>23</v>
      </c>
      <c r="O15" t="s">
        <v>50</v>
      </c>
      <c r="P15" t="s">
        <v>25</v>
      </c>
      <c r="Q15" s="5"/>
    </row>
    <row r="16" spans="1:17">
      <c r="A16" t="s">
        <v>69</v>
      </c>
      <c r="B16" s="2">
        <v>46062</v>
      </c>
      <c r="C16" t="s">
        <v>18</v>
      </c>
      <c r="D16" t="s">
        <v>19</v>
      </c>
      <c r="E16" t="s">
        <v>48</v>
      </c>
      <c r="F16" t="s">
        <v>49</v>
      </c>
      <c r="G16" t="s">
        <v>22</v>
      </c>
      <c r="H16" s="3">
        <v>399</v>
      </c>
      <c r="I16">
        <v>18</v>
      </c>
      <c r="J16" s="4">
        <v>0.1</v>
      </c>
      <c r="K16" s="3">
        <f t="shared" si="0"/>
        <v>6463.8</v>
      </c>
      <c r="L16" s="3">
        <v>230</v>
      </c>
      <c r="M16" s="3">
        <f t="shared" si="1"/>
        <v>2323.8000000000002</v>
      </c>
      <c r="N16" t="s">
        <v>46</v>
      </c>
      <c r="O16" t="s">
        <v>24</v>
      </c>
      <c r="P16" t="s">
        <v>25</v>
      </c>
      <c r="Q16" s="5"/>
    </row>
    <row r="17" spans="1:17">
      <c r="A17" t="s">
        <v>70</v>
      </c>
      <c r="B17" s="2">
        <v>46115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s="3">
        <v>219</v>
      </c>
      <c r="I17">
        <v>2</v>
      </c>
      <c r="J17" s="4">
        <v>0</v>
      </c>
      <c r="K17" s="3">
        <f t="shared" si="0"/>
        <v>438</v>
      </c>
      <c r="L17" s="3">
        <v>121</v>
      </c>
      <c r="M17" s="3">
        <f t="shared" si="1"/>
        <v>196</v>
      </c>
      <c r="N17" t="s">
        <v>32</v>
      </c>
      <c r="O17" t="s">
        <v>33</v>
      </c>
      <c r="P17" t="s">
        <v>25</v>
      </c>
      <c r="Q17" s="5"/>
    </row>
    <row r="18" spans="1:17">
      <c r="A18" t="s">
        <v>71</v>
      </c>
      <c r="B18" s="2">
        <v>46040</v>
      </c>
      <c r="C18" t="s">
        <v>55</v>
      </c>
      <c r="D18" t="s">
        <v>56</v>
      </c>
      <c r="E18" t="s">
        <v>43</v>
      </c>
      <c r="F18" t="s">
        <v>44</v>
      </c>
      <c r="G18" t="s">
        <v>45</v>
      </c>
      <c r="H18" s="3">
        <v>269</v>
      </c>
      <c r="I18">
        <v>16</v>
      </c>
      <c r="J18" s="4">
        <v>0.1</v>
      </c>
      <c r="K18" s="3">
        <f t="shared" si="0"/>
        <v>3873.6</v>
      </c>
      <c r="L18" s="3">
        <v>145</v>
      </c>
      <c r="M18" s="3">
        <f t="shared" si="1"/>
        <v>1553.6</v>
      </c>
      <c r="N18" t="s">
        <v>23</v>
      </c>
      <c r="O18" t="s">
        <v>50</v>
      </c>
      <c r="P18" t="s">
        <v>25</v>
      </c>
      <c r="Q18" s="5"/>
    </row>
    <row r="19" spans="1:17">
      <c r="A19" t="s">
        <v>72</v>
      </c>
      <c r="B19" s="2">
        <v>46161</v>
      </c>
      <c r="C19" t="s">
        <v>55</v>
      </c>
      <c r="D19" t="s">
        <v>73</v>
      </c>
      <c r="E19" t="s">
        <v>48</v>
      </c>
      <c r="F19" t="s">
        <v>49</v>
      </c>
      <c r="G19" t="s">
        <v>22</v>
      </c>
      <c r="H19" s="3">
        <v>399</v>
      </c>
      <c r="I19">
        <v>13</v>
      </c>
      <c r="J19" s="4">
        <v>0.15</v>
      </c>
      <c r="K19" s="3">
        <f t="shared" si="0"/>
        <v>4408.95</v>
      </c>
      <c r="L19" s="3">
        <v>230</v>
      </c>
      <c r="M19" s="3">
        <f t="shared" si="1"/>
        <v>1418.9499999999998</v>
      </c>
      <c r="N19" t="s">
        <v>23</v>
      </c>
      <c r="O19" t="s">
        <v>50</v>
      </c>
      <c r="P19" t="s">
        <v>25</v>
      </c>
      <c r="Q19" s="5"/>
    </row>
    <row r="20" spans="1:17">
      <c r="A20" t="s">
        <v>74</v>
      </c>
      <c r="B20" s="2">
        <v>46086</v>
      </c>
      <c r="C20" t="s">
        <v>55</v>
      </c>
      <c r="D20" t="s">
        <v>56</v>
      </c>
      <c r="E20" t="s">
        <v>20</v>
      </c>
      <c r="F20" t="s">
        <v>21</v>
      </c>
      <c r="G20" t="s">
        <v>22</v>
      </c>
      <c r="H20" s="3">
        <v>219</v>
      </c>
      <c r="I20">
        <v>11</v>
      </c>
      <c r="J20" s="4">
        <v>0</v>
      </c>
      <c r="K20" s="3">
        <f t="shared" si="0"/>
        <v>2409</v>
      </c>
      <c r="L20" s="3">
        <v>121</v>
      </c>
      <c r="M20" s="3">
        <f t="shared" si="1"/>
        <v>1078</v>
      </c>
      <c r="N20" t="s">
        <v>32</v>
      </c>
      <c r="O20" t="s">
        <v>24</v>
      </c>
      <c r="P20" t="s">
        <v>25</v>
      </c>
      <c r="Q20" s="5"/>
    </row>
    <row r="21" spans="1:17">
      <c r="A21" t="s">
        <v>75</v>
      </c>
      <c r="B21" s="2">
        <v>46184</v>
      </c>
      <c r="C21" t="s">
        <v>27</v>
      </c>
      <c r="D21" t="s">
        <v>28</v>
      </c>
      <c r="E21" t="s">
        <v>20</v>
      </c>
      <c r="F21" t="s">
        <v>21</v>
      </c>
      <c r="G21" t="s">
        <v>22</v>
      </c>
      <c r="H21" s="3">
        <v>219</v>
      </c>
      <c r="I21">
        <v>3</v>
      </c>
      <c r="J21" s="4">
        <v>0</v>
      </c>
      <c r="K21" s="3">
        <f t="shared" si="0"/>
        <v>657</v>
      </c>
      <c r="L21" s="3">
        <v>121</v>
      </c>
      <c r="M21" s="3">
        <f t="shared" si="1"/>
        <v>294</v>
      </c>
      <c r="N21" t="s">
        <v>32</v>
      </c>
      <c r="O21" t="s">
        <v>50</v>
      </c>
      <c r="P21" t="s">
        <v>25</v>
      </c>
      <c r="Q21" s="5"/>
    </row>
    <row r="22" spans="1:17">
      <c r="A22" t="s">
        <v>76</v>
      </c>
      <c r="B22" s="2">
        <v>46077</v>
      </c>
      <c r="C22" t="s">
        <v>55</v>
      </c>
      <c r="D22" t="s">
        <v>73</v>
      </c>
      <c r="E22" t="s">
        <v>43</v>
      </c>
      <c r="F22" t="s">
        <v>44</v>
      </c>
      <c r="G22" t="s">
        <v>45</v>
      </c>
      <c r="H22" s="3">
        <v>269</v>
      </c>
      <c r="I22">
        <v>8</v>
      </c>
      <c r="J22" s="4">
        <v>0.08</v>
      </c>
      <c r="K22" s="3">
        <f t="shared" si="0"/>
        <v>1979.8400000000001</v>
      </c>
      <c r="L22" s="3">
        <v>145</v>
      </c>
      <c r="M22" s="3">
        <f t="shared" si="1"/>
        <v>819.84000000000015</v>
      </c>
      <c r="N22" t="s">
        <v>32</v>
      </c>
      <c r="O22" t="s">
        <v>33</v>
      </c>
      <c r="P22" t="s">
        <v>25</v>
      </c>
      <c r="Q22" s="5"/>
    </row>
    <row r="23" spans="1:17">
      <c r="A23" t="s">
        <v>77</v>
      </c>
      <c r="B23" s="2">
        <v>46113</v>
      </c>
      <c r="C23" t="s">
        <v>36</v>
      </c>
      <c r="D23" t="s">
        <v>37</v>
      </c>
      <c r="E23" t="s">
        <v>29</v>
      </c>
      <c r="F23" t="s">
        <v>30</v>
      </c>
      <c r="G23" t="s">
        <v>31</v>
      </c>
      <c r="H23" s="3">
        <v>79</v>
      </c>
      <c r="I23">
        <v>15</v>
      </c>
      <c r="J23" s="4">
        <v>0.15</v>
      </c>
      <c r="K23" s="3">
        <f t="shared" si="0"/>
        <v>1007.25</v>
      </c>
      <c r="L23" s="3">
        <v>28</v>
      </c>
      <c r="M23" s="3">
        <f t="shared" si="1"/>
        <v>587.25</v>
      </c>
      <c r="N23" t="s">
        <v>23</v>
      </c>
      <c r="O23" t="s">
        <v>24</v>
      </c>
      <c r="P23" t="s">
        <v>63</v>
      </c>
      <c r="Q23" s="5" t="s">
        <v>78</v>
      </c>
    </row>
    <row r="24" spans="1:17">
      <c r="A24" t="s">
        <v>79</v>
      </c>
      <c r="B24" s="2">
        <v>46126</v>
      </c>
      <c r="C24" t="s">
        <v>18</v>
      </c>
      <c r="D24" t="s">
        <v>19</v>
      </c>
      <c r="E24" t="s">
        <v>61</v>
      </c>
      <c r="F24" t="s">
        <v>62</v>
      </c>
      <c r="G24" t="s">
        <v>22</v>
      </c>
      <c r="H24" s="3">
        <v>299</v>
      </c>
      <c r="I24">
        <v>8</v>
      </c>
      <c r="J24" s="4">
        <v>0</v>
      </c>
      <c r="K24" s="3">
        <f t="shared" si="0"/>
        <v>2392</v>
      </c>
      <c r="L24" s="3">
        <v>168</v>
      </c>
      <c r="M24" s="3">
        <f t="shared" si="1"/>
        <v>1048</v>
      </c>
      <c r="N24" t="s">
        <v>46</v>
      </c>
      <c r="O24" t="s">
        <v>24</v>
      </c>
      <c r="P24" t="s">
        <v>25</v>
      </c>
      <c r="Q24" s="5"/>
    </row>
    <row r="25" spans="1:17">
      <c r="A25" t="s">
        <v>80</v>
      </c>
      <c r="B25" s="2">
        <v>46141</v>
      </c>
      <c r="C25" t="s">
        <v>55</v>
      </c>
      <c r="D25" t="s">
        <v>56</v>
      </c>
      <c r="E25" t="s">
        <v>52</v>
      </c>
      <c r="F25" t="s">
        <v>53</v>
      </c>
      <c r="G25" t="s">
        <v>45</v>
      </c>
      <c r="H25" s="3">
        <v>189</v>
      </c>
      <c r="I25">
        <v>15</v>
      </c>
      <c r="J25" s="4">
        <v>0.1</v>
      </c>
      <c r="K25" s="3">
        <f t="shared" si="0"/>
        <v>2551.5</v>
      </c>
      <c r="L25" s="3">
        <v>91</v>
      </c>
      <c r="M25" s="3">
        <f t="shared" si="1"/>
        <v>1186.5</v>
      </c>
      <c r="N25" t="s">
        <v>23</v>
      </c>
      <c r="O25" t="s">
        <v>24</v>
      </c>
      <c r="P25" t="s">
        <v>25</v>
      </c>
      <c r="Q25" s="5"/>
    </row>
    <row r="26" spans="1:17">
      <c r="A26" t="s">
        <v>81</v>
      </c>
      <c r="B26" s="2">
        <v>46083</v>
      </c>
      <c r="C26" t="s">
        <v>55</v>
      </c>
      <c r="D26" t="s">
        <v>73</v>
      </c>
      <c r="E26" t="s">
        <v>20</v>
      </c>
      <c r="F26" t="s">
        <v>21</v>
      </c>
      <c r="G26" t="s">
        <v>22</v>
      </c>
      <c r="H26" s="3">
        <v>219</v>
      </c>
      <c r="I26">
        <v>16</v>
      </c>
      <c r="J26" s="4">
        <v>0.08</v>
      </c>
      <c r="K26" s="3">
        <f t="shared" si="0"/>
        <v>3223.6800000000003</v>
      </c>
      <c r="L26" s="3">
        <v>121</v>
      </c>
      <c r="M26" s="3">
        <f t="shared" si="1"/>
        <v>1287.6800000000003</v>
      </c>
      <c r="N26" t="s">
        <v>32</v>
      </c>
      <c r="O26" t="s">
        <v>24</v>
      </c>
      <c r="P26" t="s">
        <v>25</v>
      </c>
      <c r="Q26" s="5"/>
    </row>
    <row r="27" spans="1:17">
      <c r="A27" t="s">
        <v>82</v>
      </c>
      <c r="B27" s="2">
        <v>46023</v>
      </c>
      <c r="C27" t="s">
        <v>36</v>
      </c>
      <c r="D27" t="s">
        <v>37</v>
      </c>
      <c r="E27" t="s">
        <v>29</v>
      </c>
      <c r="F27" t="s">
        <v>30</v>
      </c>
      <c r="G27" t="s">
        <v>31</v>
      </c>
      <c r="H27" s="3">
        <v>79</v>
      </c>
      <c r="I27">
        <v>15</v>
      </c>
      <c r="J27" s="4">
        <v>0.05</v>
      </c>
      <c r="K27" s="3">
        <f t="shared" si="0"/>
        <v>1125.75</v>
      </c>
      <c r="L27" s="3">
        <v>28</v>
      </c>
      <c r="M27" s="3">
        <f t="shared" si="1"/>
        <v>705.75</v>
      </c>
      <c r="N27" t="s">
        <v>23</v>
      </c>
      <c r="O27" t="s">
        <v>33</v>
      </c>
      <c r="P27" t="s">
        <v>25</v>
      </c>
      <c r="Q27" s="5"/>
    </row>
    <row r="28" spans="1:17">
      <c r="A28" t="s">
        <v>83</v>
      </c>
      <c r="B28" s="2">
        <v>46062</v>
      </c>
      <c r="C28" t="s">
        <v>55</v>
      </c>
      <c r="D28" t="s">
        <v>73</v>
      </c>
      <c r="E28" t="s">
        <v>43</v>
      </c>
      <c r="F28" t="s">
        <v>44</v>
      </c>
      <c r="G28" t="s">
        <v>45</v>
      </c>
      <c r="H28" s="3">
        <v>269</v>
      </c>
      <c r="I28">
        <v>7</v>
      </c>
      <c r="J28" s="4">
        <v>0</v>
      </c>
      <c r="K28" s="3">
        <f t="shared" si="0"/>
        <v>1883</v>
      </c>
      <c r="L28" s="3">
        <v>145</v>
      </c>
      <c r="M28" s="3">
        <f t="shared" si="1"/>
        <v>868</v>
      </c>
      <c r="N28" t="s">
        <v>23</v>
      </c>
      <c r="O28" t="s">
        <v>50</v>
      </c>
      <c r="P28" t="s">
        <v>25</v>
      </c>
      <c r="Q28" s="5"/>
    </row>
    <row r="29" spans="1:17">
      <c r="A29" t="s">
        <v>84</v>
      </c>
      <c r="B29" s="2">
        <v>46035</v>
      </c>
      <c r="C29" t="s">
        <v>36</v>
      </c>
      <c r="D29" t="s">
        <v>85</v>
      </c>
      <c r="E29" t="s">
        <v>61</v>
      </c>
      <c r="F29" t="s">
        <v>62</v>
      </c>
      <c r="G29" t="s">
        <v>22</v>
      </c>
      <c r="H29" s="3">
        <v>299</v>
      </c>
      <c r="I29">
        <v>2</v>
      </c>
      <c r="J29" s="4">
        <v>0.1</v>
      </c>
      <c r="K29" s="3">
        <f t="shared" si="0"/>
        <v>538.20000000000005</v>
      </c>
      <c r="L29" s="3">
        <v>168</v>
      </c>
      <c r="M29" s="3">
        <f t="shared" si="1"/>
        <v>202.20000000000005</v>
      </c>
      <c r="N29" t="s">
        <v>23</v>
      </c>
      <c r="O29" t="s">
        <v>24</v>
      </c>
      <c r="P29" t="s">
        <v>25</v>
      </c>
      <c r="Q29" s="5"/>
    </row>
    <row r="30" spans="1:17">
      <c r="A30" t="s">
        <v>86</v>
      </c>
      <c r="B30" s="2">
        <v>46126</v>
      </c>
      <c r="C30" t="s">
        <v>27</v>
      </c>
      <c r="D30" t="s">
        <v>28</v>
      </c>
      <c r="E30" t="s">
        <v>48</v>
      </c>
      <c r="F30" t="s">
        <v>49</v>
      </c>
      <c r="G30" t="s">
        <v>22</v>
      </c>
      <c r="H30" s="3">
        <v>399</v>
      </c>
      <c r="I30">
        <v>2</v>
      </c>
      <c r="J30" s="4">
        <v>0.1</v>
      </c>
      <c r="K30" s="3">
        <f t="shared" si="0"/>
        <v>718.2</v>
      </c>
      <c r="L30" s="3">
        <v>230</v>
      </c>
      <c r="M30" s="3">
        <f t="shared" si="1"/>
        <v>258.20000000000005</v>
      </c>
      <c r="N30" t="s">
        <v>23</v>
      </c>
      <c r="O30" t="s">
        <v>33</v>
      </c>
      <c r="P30" t="s">
        <v>25</v>
      </c>
      <c r="Q30" s="5"/>
    </row>
    <row r="31" spans="1:17">
      <c r="A31" t="s">
        <v>87</v>
      </c>
      <c r="B31" s="2">
        <v>46089</v>
      </c>
      <c r="C31" t="s">
        <v>55</v>
      </c>
      <c r="D31" t="s">
        <v>73</v>
      </c>
      <c r="E31" t="s">
        <v>40</v>
      </c>
      <c r="F31" t="s">
        <v>41</v>
      </c>
      <c r="G31" t="s">
        <v>22</v>
      </c>
      <c r="H31" s="3">
        <v>129</v>
      </c>
      <c r="I31">
        <v>8</v>
      </c>
      <c r="J31" s="4">
        <v>0.05</v>
      </c>
      <c r="K31" s="3">
        <f t="shared" si="0"/>
        <v>980.4</v>
      </c>
      <c r="L31" s="3">
        <v>67</v>
      </c>
      <c r="M31" s="3">
        <f t="shared" si="1"/>
        <v>444.4</v>
      </c>
      <c r="N31" t="s">
        <v>46</v>
      </c>
      <c r="O31" t="s">
        <v>50</v>
      </c>
      <c r="P31" t="s">
        <v>25</v>
      </c>
      <c r="Q31" s="5"/>
    </row>
    <row r="32" spans="1:17">
      <c r="A32" t="s">
        <v>88</v>
      </c>
      <c r="B32" s="2">
        <v>46041</v>
      </c>
      <c r="C32" t="s">
        <v>27</v>
      </c>
      <c r="D32" t="s">
        <v>39</v>
      </c>
      <c r="E32" t="s">
        <v>40</v>
      </c>
      <c r="F32" t="s">
        <v>41</v>
      </c>
      <c r="G32" t="s">
        <v>22</v>
      </c>
      <c r="H32" s="3">
        <v>129</v>
      </c>
      <c r="I32">
        <v>4</v>
      </c>
      <c r="J32" s="4">
        <v>0</v>
      </c>
      <c r="K32" s="3">
        <f t="shared" si="0"/>
        <v>516</v>
      </c>
      <c r="L32" s="3">
        <v>67</v>
      </c>
      <c r="M32" s="3">
        <f t="shared" si="1"/>
        <v>248</v>
      </c>
      <c r="N32" t="s">
        <v>32</v>
      </c>
      <c r="O32" t="s">
        <v>50</v>
      </c>
      <c r="P32" t="s">
        <v>25</v>
      </c>
      <c r="Q32" s="5"/>
    </row>
    <row r="33" spans="1:17">
      <c r="A33" t="s">
        <v>89</v>
      </c>
      <c r="B33" s="2">
        <v>46085</v>
      </c>
      <c r="C33" t="s">
        <v>18</v>
      </c>
      <c r="D33" t="s">
        <v>90</v>
      </c>
      <c r="E33" t="s">
        <v>20</v>
      </c>
      <c r="F33" t="s">
        <v>21</v>
      </c>
      <c r="G33" t="s">
        <v>22</v>
      </c>
      <c r="H33" s="3">
        <v>219</v>
      </c>
      <c r="I33">
        <v>6</v>
      </c>
      <c r="J33" s="4">
        <v>0.08</v>
      </c>
      <c r="K33" s="3">
        <f t="shared" si="0"/>
        <v>1208.8800000000001</v>
      </c>
      <c r="L33" s="3">
        <v>121</v>
      </c>
      <c r="M33" s="3">
        <f t="shared" si="1"/>
        <v>482.88000000000011</v>
      </c>
      <c r="N33" t="s">
        <v>23</v>
      </c>
      <c r="O33" t="s">
        <v>33</v>
      </c>
      <c r="P33" t="s">
        <v>25</v>
      </c>
      <c r="Q33" s="5"/>
    </row>
    <row r="34" spans="1:17">
      <c r="A34" t="s">
        <v>91</v>
      </c>
      <c r="B34" s="2">
        <v>46193</v>
      </c>
      <c r="C34" t="s">
        <v>18</v>
      </c>
      <c r="D34" t="s">
        <v>19</v>
      </c>
      <c r="E34" t="s">
        <v>61</v>
      </c>
      <c r="F34" t="s">
        <v>62</v>
      </c>
      <c r="G34" t="s">
        <v>22</v>
      </c>
      <c r="H34" s="3">
        <v>299</v>
      </c>
      <c r="I34">
        <v>5</v>
      </c>
      <c r="J34" s="4">
        <v>0.05</v>
      </c>
      <c r="K34" s="3">
        <f t="shared" ref="K34:K65" si="2">H34*I34*(1-J34)</f>
        <v>1420.25</v>
      </c>
      <c r="L34" s="3">
        <v>168</v>
      </c>
      <c r="M34" s="3">
        <f t="shared" ref="M34:M65" si="3">K34-L34*I34</f>
        <v>580.25</v>
      </c>
      <c r="N34" t="s">
        <v>23</v>
      </c>
      <c r="O34" t="s">
        <v>24</v>
      </c>
      <c r="P34" t="s">
        <v>25</v>
      </c>
      <c r="Q34" s="5"/>
    </row>
    <row r="35" spans="1:17">
      <c r="A35" t="s">
        <v>92</v>
      </c>
      <c r="B35" s="2">
        <v>46095</v>
      </c>
      <c r="C35" t="s">
        <v>55</v>
      </c>
      <c r="D35" t="s">
        <v>73</v>
      </c>
      <c r="E35" t="s">
        <v>52</v>
      </c>
      <c r="F35" t="s">
        <v>53</v>
      </c>
      <c r="G35" t="s">
        <v>45</v>
      </c>
      <c r="H35" s="3">
        <v>189</v>
      </c>
      <c r="I35">
        <v>7</v>
      </c>
      <c r="J35" s="4">
        <v>0.15</v>
      </c>
      <c r="K35" s="3">
        <f t="shared" si="2"/>
        <v>1124.55</v>
      </c>
      <c r="L35" s="3">
        <v>91</v>
      </c>
      <c r="M35" s="3">
        <f t="shared" si="3"/>
        <v>487.54999999999995</v>
      </c>
      <c r="N35" t="s">
        <v>46</v>
      </c>
      <c r="O35" t="s">
        <v>50</v>
      </c>
      <c r="P35" t="s">
        <v>25</v>
      </c>
      <c r="Q35" s="5"/>
    </row>
    <row r="36" spans="1:17">
      <c r="A36" t="s">
        <v>93</v>
      </c>
      <c r="B36" s="2">
        <v>46046</v>
      </c>
      <c r="C36" t="s">
        <v>36</v>
      </c>
      <c r="D36" t="s">
        <v>37</v>
      </c>
      <c r="E36" t="s">
        <v>61</v>
      </c>
      <c r="F36" t="s">
        <v>62</v>
      </c>
      <c r="G36" t="s">
        <v>22</v>
      </c>
      <c r="H36" s="3">
        <v>299</v>
      </c>
      <c r="I36">
        <v>2</v>
      </c>
      <c r="J36" s="4">
        <v>0</v>
      </c>
      <c r="K36" s="3">
        <f t="shared" si="2"/>
        <v>598</v>
      </c>
      <c r="L36" s="3">
        <v>168</v>
      </c>
      <c r="M36" s="3">
        <f t="shared" si="3"/>
        <v>262</v>
      </c>
      <c r="N36" t="s">
        <v>46</v>
      </c>
      <c r="O36" t="s">
        <v>24</v>
      </c>
      <c r="P36" t="s">
        <v>25</v>
      </c>
      <c r="Q36" s="5"/>
    </row>
    <row r="37" spans="1:17">
      <c r="A37" t="s">
        <v>94</v>
      </c>
      <c r="B37" s="2">
        <v>46164</v>
      </c>
      <c r="C37" t="s">
        <v>36</v>
      </c>
      <c r="D37" t="s">
        <v>85</v>
      </c>
      <c r="E37" t="s">
        <v>43</v>
      </c>
      <c r="F37" t="s">
        <v>44</v>
      </c>
      <c r="G37" t="s">
        <v>45</v>
      </c>
      <c r="H37" s="3">
        <v>269</v>
      </c>
      <c r="I37">
        <v>4</v>
      </c>
      <c r="J37" s="4">
        <v>0</v>
      </c>
      <c r="K37" s="3">
        <f t="shared" si="2"/>
        <v>1076</v>
      </c>
      <c r="L37" s="3">
        <v>145</v>
      </c>
      <c r="M37" s="3">
        <f t="shared" si="3"/>
        <v>496</v>
      </c>
      <c r="N37" t="s">
        <v>32</v>
      </c>
      <c r="O37" t="s">
        <v>33</v>
      </c>
      <c r="P37" t="s">
        <v>25</v>
      </c>
      <c r="Q37" s="5"/>
    </row>
    <row r="38" spans="1:17">
      <c r="A38" t="s">
        <v>95</v>
      </c>
      <c r="B38" s="2">
        <v>46117</v>
      </c>
      <c r="C38" t="s">
        <v>55</v>
      </c>
      <c r="D38" t="s">
        <v>73</v>
      </c>
      <c r="E38" t="s">
        <v>61</v>
      </c>
      <c r="F38" t="s">
        <v>62</v>
      </c>
      <c r="G38" t="s">
        <v>22</v>
      </c>
      <c r="H38" s="3">
        <v>299</v>
      </c>
      <c r="I38">
        <v>5</v>
      </c>
      <c r="J38" s="4">
        <v>0</v>
      </c>
      <c r="K38" s="3">
        <f t="shared" si="2"/>
        <v>1495</v>
      </c>
      <c r="L38" s="3">
        <v>168</v>
      </c>
      <c r="M38" s="3">
        <f t="shared" si="3"/>
        <v>655</v>
      </c>
      <c r="N38" t="s">
        <v>32</v>
      </c>
      <c r="O38" t="s">
        <v>50</v>
      </c>
      <c r="P38" t="s">
        <v>25</v>
      </c>
      <c r="Q38" s="5"/>
    </row>
    <row r="39" spans="1:17">
      <c r="A39" t="s">
        <v>96</v>
      </c>
      <c r="B39" s="2">
        <v>46197</v>
      </c>
      <c r="C39" t="s">
        <v>55</v>
      </c>
      <c r="D39" t="s">
        <v>56</v>
      </c>
      <c r="E39" t="s">
        <v>48</v>
      </c>
      <c r="F39" t="s">
        <v>49</v>
      </c>
      <c r="G39" t="s">
        <v>22</v>
      </c>
      <c r="H39" s="3">
        <v>399</v>
      </c>
      <c r="I39">
        <v>12</v>
      </c>
      <c r="J39" s="4">
        <v>0.1</v>
      </c>
      <c r="K39" s="3">
        <f t="shared" si="2"/>
        <v>4309.2</v>
      </c>
      <c r="L39" s="3">
        <v>230</v>
      </c>
      <c r="M39" s="3">
        <f t="shared" si="3"/>
        <v>1549.1999999999998</v>
      </c>
      <c r="N39" t="s">
        <v>23</v>
      </c>
      <c r="O39" t="s">
        <v>33</v>
      </c>
      <c r="P39" t="s">
        <v>25</v>
      </c>
      <c r="Q39" s="5"/>
    </row>
    <row r="40" spans="1:17">
      <c r="A40" t="s">
        <v>97</v>
      </c>
      <c r="B40" s="2">
        <v>46083</v>
      </c>
      <c r="C40" t="s">
        <v>55</v>
      </c>
      <c r="D40" t="s">
        <v>56</v>
      </c>
      <c r="E40" t="s">
        <v>67</v>
      </c>
      <c r="F40" t="s">
        <v>68</v>
      </c>
      <c r="G40" t="s">
        <v>45</v>
      </c>
      <c r="H40" s="3">
        <v>159</v>
      </c>
      <c r="I40">
        <v>14</v>
      </c>
      <c r="J40" s="4">
        <v>0</v>
      </c>
      <c r="K40" s="3">
        <f t="shared" si="2"/>
        <v>2226</v>
      </c>
      <c r="L40" s="3">
        <v>78</v>
      </c>
      <c r="M40" s="3">
        <f t="shared" si="3"/>
        <v>1134</v>
      </c>
      <c r="N40" t="s">
        <v>46</v>
      </c>
      <c r="O40" t="s">
        <v>33</v>
      </c>
      <c r="P40" t="s">
        <v>25</v>
      </c>
      <c r="Q40" s="5"/>
    </row>
    <row r="41" spans="1:17">
      <c r="A41" t="s">
        <v>98</v>
      </c>
      <c r="B41" s="2">
        <v>46091</v>
      </c>
      <c r="C41" t="s">
        <v>55</v>
      </c>
      <c r="D41" t="s">
        <v>56</v>
      </c>
      <c r="E41" t="s">
        <v>48</v>
      </c>
      <c r="F41" t="s">
        <v>49</v>
      </c>
      <c r="G41" t="s">
        <v>22</v>
      </c>
      <c r="H41" s="3">
        <v>399</v>
      </c>
      <c r="I41">
        <v>13</v>
      </c>
      <c r="J41" s="4">
        <v>0</v>
      </c>
      <c r="K41" s="3">
        <f t="shared" si="2"/>
        <v>5187</v>
      </c>
      <c r="L41" s="3">
        <v>230</v>
      </c>
      <c r="M41" s="3">
        <f t="shared" si="3"/>
        <v>2197</v>
      </c>
      <c r="N41" t="s">
        <v>46</v>
      </c>
      <c r="O41" t="s">
        <v>50</v>
      </c>
      <c r="P41" t="s">
        <v>25</v>
      </c>
      <c r="Q41" s="5"/>
    </row>
    <row r="42" spans="1:17">
      <c r="A42" t="s">
        <v>99</v>
      </c>
      <c r="B42" s="2">
        <v>46081</v>
      </c>
      <c r="C42" t="s">
        <v>55</v>
      </c>
      <c r="D42" t="s">
        <v>56</v>
      </c>
      <c r="E42" t="s">
        <v>52</v>
      </c>
      <c r="F42" t="s">
        <v>53</v>
      </c>
      <c r="G42" t="s">
        <v>45</v>
      </c>
      <c r="H42" s="3">
        <v>189</v>
      </c>
      <c r="I42">
        <v>7</v>
      </c>
      <c r="J42" s="4">
        <v>0.08</v>
      </c>
      <c r="K42" s="3">
        <f t="shared" si="2"/>
        <v>1217.1600000000001</v>
      </c>
      <c r="L42" s="3">
        <v>91</v>
      </c>
      <c r="M42" s="3">
        <f t="shared" si="3"/>
        <v>580.16000000000008</v>
      </c>
      <c r="N42" t="s">
        <v>46</v>
      </c>
      <c r="O42" t="s">
        <v>50</v>
      </c>
      <c r="P42" t="s">
        <v>25</v>
      </c>
      <c r="Q42" s="5"/>
    </row>
    <row r="43" spans="1:17">
      <c r="A43" t="s">
        <v>100</v>
      </c>
      <c r="B43" s="2">
        <v>46196</v>
      </c>
      <c r="C43" t="s">
        <v>18</v>
      </c>
      <c r="D43" t="s">
        <v>19</v>
      </c>
      <c r="E43" t="s">
        <v>29</v>
      </c>
      <c r="F43" t="s">
        <v>30</v>
      </c>
      <c r="G43" t="s">
        <v>31</v>
      </c>
      <c r="H43" s="3">
        <v>79</v>
      </c>
      <c r="I43">
        <v>4</v>
      </c>
      <c r="J43" s="4">
        <v>0.05</v>
      </c>
      <c r="K43" s="3">
        <f t="shared" si="2"/>
        <v>300.2</v>
      </c>
      <c r="L43" s="3">
        <v>28</v>
      </c>
      <c r="M43" s="3">
        <f t="shared" si="3"/>
        <v>188.2</v>
      </c>
      <c r="N43" t="s">
        <v>46</v>
      </c>
      <c r="O43" t="s">
        <v>24</v>
      </c>
      <c r="P43" t="s">
        <v>25</v>
      </c>
      <c r="Q43" s="5"/>
    </row>
    <row r="44" spans="1:17">
      <c r="A44" t="s">
        <v>101</v>
      </c>
      <c r="B44" s="2">
        <v>46175</v>
      </c>
      <c r="C44" t="s">
        <v>36</v>
      </c>
      <c r="D44" t="s">
        <v>37</v>
      </c>
      <c r="E44" t="s">
        <v>20</v>
      </c>
      <c r="F44" t="s">
        <v>21</v>
      </c>
      <c r="G44" t="s">
        <v>22</v>
      </c>
      <c r="H44" s="3">
        <v>219</v>
      </c>
      <c r="I44">
        <v>11</v>
      </c>
      <c r="J44" s="4">
        <v>0.08</v>
      </c>
      <c r="K44" s="3">
        <f t="shared" si="2"/>
        <v>2216.2800000000002</v>
      </c>
      <c r="L44" s="3">
        <v>121</v>
      </c>
      <c r="M44" s="3">
        <f t="shared" si="3"/>
        <v>885.2800000000002</v>
      </c>
      <c r="N44" t="s">
        <v>46</v>
      </c>
      <c r="O44" t="s">
        <v>33</v>
      </c>
      <c r="P44" t="s">
        <v>25</v>
      </c>
      <c r="Q44" s="5"/>
    </row>
    <row r="45" spans="1:17">
      <c r="A45" t="s">
        <v>102</v>
      </c>
      <c r="B45" s="2">
        <v>46088</v>
      </c>
      <c r="C45" t="s">
        <v>27</v>
      </c>
      <c r="D45" t="s">
        <v>39</v>
      </c>
      <c r="E45" t="s">
        <v>48</v>
      </c>
      <c r="F45" t="s">
        <v>49</v>
      </c>
      <c r="G45" t="s">
        <v>22</v>
      </c>
      <c r="H45" s="3">
        <v>399</v>
      </c>
      <c r="I45">
        <v>1</v>
      </c>
      <c r="J45" s="4">
        <v>0.1</v>
      </c>
      <c r="K45" s="3">
        <f t="shared" si="2"/>
        <v>359.1</v>
      </c>
      <c r="L45" s="3">
        <v>230</v>
      </c>
      <c r="M45" s="3">
        <f t="shared" si="3"/>
        <v>129.10000000000002</v>
      </c>
      <c r="N45" t="s">
        <v>23</v>
      </c>
      <c r="O45" t="s">
        <v>33</v>
      </c>
      <c r="P45" t="s">
        <v>25</v>
      </c>
      <c r="Q45" s="5"/>
    </row>
    <row r="46" spans="1:17">
      <c r="A46" t="s">
        <v>103</v>
      </c>
      <c r="B46" s="2">
        <v>46116</v>
      </c>
      <c r="C46" t="s">
        <v>36</v>
      </c>
      <c r="D46" t="s">
        <v>85</v>
      </c>
      <c r="E46" t="s">
        <v>48</v>
      </c>
      <c r="F46" t="s">
        <v>49</v>
      </c>
      <c r="G46" t="s">
        <v>22</v>
      </c>
      <c r="H46" s="3">
        <v>399</v>
      </c>
      <c r="I46">
        <v>11</v>
      </c>
      <c r="J46" s="4">
        <v>0.1</v>
      </c>
      <c r="K46" s="3">
        <f t="shared" si="2"/>
        <v>3950.1</v>
      </c>
      <c r="L46" s="3">
        <v>230</v>
      </c>
      <c r="M46" s="3">
        <f t="shared" si="3"/>
        <v>1420.1</v>
      </c>
      <c r="N46" t="s">
        <v>23</v>
      </c>
      <c r="O46" t="s">
        <v>50</v>
      </c>
      <c r="P46" t="s">
        <v>25</v>
      </c>
      <c r="Q46" s="5"/>
    </row>
    <row r="47" spans="1:17">
      <c r="A47" t="s">
        <v>104</v>
      </c>
      <c r="B47" s="2">
        <v>46193</v>
      </c>
      <c r="C47" t="s">
        <v>36</v>
      </c>
      <c r="D47" t="s">
        <v>37</v>
      </c>
      <c r="E47" t="s">
        <v>52</v>
      </c>
      <c r="F47" t="s">
        <v>53</v>
      </c>
      <c r="G47" t="s">
        <v>45</v>
      </c>
      <c r="H47" s="3">
        <v>189</v>
      </c>
      <c r="I47">
        <v>13</v>
      </c>
      <c r="J47" s="4">
        <v>0.15</v>
      </c>
      <c r="K47" s="3">
        <f t="shared" si="2"/>
        <v>2088.4499999999998</v>
      </c>
      <c r="L47" s="3">
        <v>91</v>
      </c>
      <c r="M47" s="3">
        <f t="shared" si="3"/>
        <v>905.44999999999982</v>
      </c>
      <c r="N47" t="s">
        <v>46</v>
      </c>
      <c r="O47" t="s">
        <v>33</v>
      </c>
      <c r="P47" t="s">
        <v>25</v>
      </c>
      <c r="Q47" s="5"/>
    </row>
    <row r="48" spans="1:17">
      <c r="A48" t="s">
        <v>105</v>
      </c>
      <c r="B48" s="2">
        <v>46196</v>
      </c>
      <c r="C48" t="s">
        <v>55</v>
      </c>
      <c r="D48" t="s">
        <v>73</v>
      </c>
      <c r="E48" t="s">
        <v>29</v>
      </c>
      <c r="F48" t="s">
        <v>30</v>
      </c>
      <c r="G48" t="s">
        <v>31</v>
      </c>
      <c r="H48" s="3">
        <v>79</v>
      </c>
      <c r="I48">
        <v>13</v>
      </c>
      <c r="J48" s="4">
        <v>0.1</v>
      </c>
      <c r="K48" s="3">
        <f t="shared" si="2"/>
        <v>924.30000000000007</v>
      </c>
      <c r="L48" s="3">
        <v>28</v>
      </c>
      <c r="M48" s="3">
        <f t="shared" si="3"/>
        <v>560.30000000000007</v>
      </c>
      <c r="N48" t="s">
        <v>32</v>
      </c>
      <c r="O48" t="s">
        <v>50</v>
      </c>
      <c r="P48" t="s">
        <v>25</v>
      </c>
      <c r="Q48" s="5"/>
    </row>
    <row r="49" spans="1:17">
      <c r="A49" t="s">
        <v>106</v>
      </c>
      <c r="B49" s="2">
        <v>46142</v>
      </c>
      <c r="C49" t="s">
        <v>36</v>
      </c>
      <c r="D49" t="s">
        <v>37</v>
      </c>
      <c r="E49" t="s">
        <v>40</v>
      </c>
      <c r="F49" t="s">
        <v>41</v>
      </c>
      <c r="G49" t="s">
        <v>22</v>
      </c>
      <c r="H49" s="3">
        <v>129</v>
      </c>
      <c r="I49">
        <v>7</v>
      </c>
      <c r="J49" s="4">
        <v>0.1</v>
      </c>
      <c r="K49" s="3">
        <f t="shared" si="2"/>
        <v>812.7</v>
      </c>
      <c r="L49" s="3">
        <v>67</v>
      </c>
      <c r="M49" s="3">
        <f t="shared" si="3"/>
        <v>343.70000000000005</v>
      </c>
      <c r="N49" t="s">
        <v>23</v>
      </c>
      <c r="O49" t="s">
        <v>24</v>
      </c>
      <c r="P49" t="s">
        <v>25</v>
      </c>
      <c r="Q49" s="5"/>
    </row>
    <row r="50" spans="1:17">
      <c r="A50" t="s">
        <v>107</v>
      </c>
      <c r="B50" s="2">
        <v>46095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s="3">
        <v>219</v>
      </c>
      <c r="I50">
        <v>8</v>
      </c>
      <c r="J50" s="4">
        <v>0.15</v>
      </c>
      <c r="K50" s="3">
        <f t="shared" si="2"/>
        <v>1489.2</v>
      </c>
      <c r="L50" s="3">
        <v>121</v>
      </c>
      <c r="M50" s="3">
        <f t="shared" si="3"/>
        <v>521.20000000000005</v>
      </c>
      <c r="N50" t="s">
        <v>32</v>
      </c>
      <c r="O50" t="s">
        <v>24</v>
      </c>
      <c r="P50" t="s">
        <v>25</v>
      </c>
      <c r="Q50" s="5"/>
    </row>
    <row r="51" spans="1:17">
      <c r="A51" t="s">
        <v>108</v>
      </c>
      <c r="B51" s="2">
        <v>46085</v>
      </c>
      <c r="C51" t="s">
        <v>36</v>
      </c>
      <c r="D51" t="s">
        <v>85</v>
      </c>
      <c r="E51" t="s">
        <v>61</v>
      </c>
      <c r="F51" t="s">
        <v>62</v>
      </c>
      <c r="G51" t="s">
        <v>22</v>
      </c>
      <c r="H51" s="3">
        <v>299</v>
      </c>
      <c r="I51">
        <v>15</v>
      </c>
      <c r="J51" s="4">
        <v>0.08</v>
      </c>
      <c r="K51" s="3">
        <f t="shared" si="2"/>
        <v>4126.2</v>
      </c>
      <c r="L51" s="3">
        <v>168</v>
      </c>
      <c r="M51" s="3">
        <f t="shared" si="3"/>
        <v>1606.1999999999998</v>
      </c>
      <c r="N51" t="s">
        <v>23</v>
      </c>
      <c r="O51" t="s">
        <v>33</v>
      </c>
      <c r="P51" t="s">
        <v>25</v>
      </c>
      <c r="Q51" s="5"/>
    </row>
    <row r="52" spans="1:17">
      <c r="A52" t="s">
        <v>109</v>
      </c>
      <c r="B52" s="2">
        <v>46149</v>
      </c>
      <c r="C52" t="s">
        <v>36</v>
      </c>
      <c r="D52" t="s">
        <v>85</v>
      </c>
      <c r="E52" t="s">
        <v>29</v>
      </c>
      <c r="F52" t="s">
        <v>30</v>
      </c>
      <c r="G52" t="s">
        <v>31</v>
      </c>
      <c r="H52" s="3">
        <v>79</v>
      </c>
      <c r="I52">
        <v>5</v>
      </c>
      <c r="J52" s="4">
        <v>0.15</v>
      </c>
      <c r="K52" s="3">
        <f t="shared" si="2"/>
        <v>335.75</v>
      </c>
      <c r="L52" s="3">
        <v>28</v>
      </c>
      <c r="M52" s="3">
        <f t="shared" si="3"/>
        <v>195.75</v>
      </c>
      <c r="N52" t="s">
        <v>32</v>
      </c>
      <c r="O52" t="s">
        <v>50</v>
      </c>
      <c r="P52" t="s">
        <v>25</v>
      </c>
      <c r="Q52" s="5"/>
    </row>
    <row r="53" spans="1:17">
      <c r="A53" t="s">
        <v>110</v>
      </c>
      <c r="B53" s="2">
        <v>46068</v>
      </c>
      <c r="C53" t="s">
        <v>36</v>
      </c>
      <c r="D53" t="s">
        <v>85</v>
      </c>
      <c r="E53" t="s">
        <v>48</v>
      </c>
      <c r="F53" t="s">
        <v>49</v>
      </c>
      <c r="G53" t="s">
        <v>22</v>
      </c>
      <c r="H53" s="3">
        <v>399</v>
      </c>
      <c r="I53">
        <v>18</v>
      </c>
      <c r="J53" s="4">
        <v>0</v>
      </c>
      <c r="K53" s="3">
        <f t="shared" si="2"/>
        <v>7182</v>
      </c>
      <c r="L53" s="3">
        <v>230</v>
      </c>
      <c r="M53" s="3">
        <f t="shared" si="3"/>
        <v>3042</v>
      </c>
      <c r="N53" t="s">
        <v>32</v>
      </c>
      <c r="O53" t="s">
        <v>50</v>
      </c>
      <c r="P53" t="s">
        <v>25</v>
      </c>
      <c r="Q53" s="5"/>
    </row>
    <row r="54" spans="1:17">
      <c r="A54" t="s">
        <v>111</v>
      </c>
      <c r="B54" s="2">
        <v>46136</v>
      </c>
      <c r="C54" t="s">
        <v>36</v>
      </c>
      <c r="D54" t="s">
        <v>37</v>
      </c>
      <c r="E54" t="s">
        <v>40</v>
      </c>
      <c r="F54" t="s">
        <v>41</v>
      </c>
      <c r="G54" t="s">
        <v>22</v>
      </c>
      <c r="H54" s="3">
        <v>129</v>
      </c>
      <c r="I54">
        <v>6</v>
      </c>
      <c r="J54" s="4">
        <v>0.15</v>
      </c>
      <c r="K54" s="3">
        <f t="shared" si="2"/>
        <v>657.9</v>
      </c>
      <c r="L54" s="3">
        <v>67</v>
      </c>
      <c r="M54" s="3">
        <f t="shared" si="3"/>
        <v>255.89999999999998</v>
      </c>
      <c r="N54" t="s">
        <v>32</v>
      </c>
      <c r="O54" t="s">
        <v>33</v>
      </c>
      <c r="P54" t="s">
        <v>25</v>
      </c>
      <c r="Q54" s="5"/>
    </row>
    <row r="55" spans="1:17">
      <c r="A55" t="s">
        <v>112</v>
      </c>
      <c r="B55" s="2">
        <v>46156</v>
      </c>
      <c r="C55" t="s">
        <v>36</v>
      </c>
      <c r="D55" t="s">
        <v>85</v>
      </c>
      <c r="E55" t="s">
        <v>52</v>
      </c>
      <c r="F55" t="s">
        <v>53</v>
      </c>
      <c r="G55" t="s">
        <v>45</v>
      </c>
      <c r="H55" s="3">
        <v>189</v>
      </c>
      <c r="I55">
        <v>9</v>
      </c>
      <c r="J55" s="4">
        <v>0.08</v>
      </c>
      <c r="K55" s="3">
        <f t="shared" si="2"/>
        <v>1564.92</v>
      </c>
      <c r="L55" s="3">
        <v>91</v>
      </c>
      <c r="M55" s="3">
        <f t="shared" si="3"/>
        <v>745.92000000000007</v>
      </c>
      <c r="N55" t="s">
        <v>46</v>
      </c>
      <c r="O55" t="s">
        <v>50</v>
      </c>
      <c r="P55" t="s">
        <v>25</v>
      </c>
      <c r="Q55" s="5"/>
    </row>
    <row r="56" spans="1:17">
      <c r="A56" t="s">
        <v>113</v>
      </c>
      <c r="B56" s="2">
        <v>46161</v>
      </c>
      <c r="C56" t="s">
        <v>27</v>
      </c>
      <c r="D56" t="s">
        <v>28</v>
      </c>
      <c r="E56" t="s">
        <v>40</v>
      </c>
      <c r="F56" t="s">
        <v>41</v>
      </c>
      <c r="G56" t="s">
        <v>22</v>
      </c>
      <c r="H56" s="3">
        <v>129</v>
      </c>
      <c r="I56">
        <v>5</v>
      </c>
      <c r="J56" s="4">
        <v>0</v>
      </c>
      <c r="K56" s="3">
        <f t="shared" si="2"/>
        <v>645</v>
      </c>
      <c r="L56" s="3">
        <v>67</v>
      </c>
      <c r="M56" s="3">
        <f t="shared" si="3"/>
        <v>310</v>
      </c>
      <c r="N56" t="s">
        <v>32</v>
      </c>
      <c r="O56" t="s">
        <v>24</v>
      </c>
      <c r="P56" t="s">
        <v>25</v>
      </c>
      <c r="Q56" s="5"/>
    </row>
    <row r="57" spans="1:17">
      <c r="A57" t="s">
        <v>114</v>
      </c>
      <c r="B57" s="2">
        <v>46127</v>
      </c>
      <c r="C57" t="s">
        <v>18</v>
      </c>
      <c r="D57" t="s">
        <v>90</v>
      </c>
      <c r="E57" t="s">
        <v>29</v>
      </c>
      <c r="F57" t="s">
        <v>30</v>
      </c>
      <c r="G57" t="s">
        <v>31</v>
      </c>
      <c r="H57" s="3">
        <v>79</v>
      </c>
      <c r="I57">
        <v>14</v>
      </c>
      <c r="J57" s="4">
        <v>0</v>
      </c>
      <c r="K57" s="3">
        <f t="shared" si="2"/>
        <v>1106</v>
      </c>
      <c r="L57" s="3">
        <v>28</v>
      </c>
      <c r="M57" s="3">
        <f t="shared" si="3"/>
        <v>714</v>
      </c>
      <c r="N57" t="s">
        <v>23</v>
      </c>
      <c r="O57" t="s">
        <v>33</v>
      </c>
      <c r="P57" t="s">
        <v>25</v>
      </c>
      <c r="Q57" s="5"/>
    </row>
    <row r="58" spans="1:17">
      <c r="A58" t="s">
        <v>115</v>
      </c>
      <c r="B58" s="2">
        <v>46170</v>
      </c>
      <c r="C58" t="s">
        <v>36</v>
      </c>
      <c r="D58" t="s">
        <v>37</v>
      </c>
      <c r="E58" t="s">
        <v>61</v>
      </c>
      <c r="F58" t="s">
        <v>62</v>
      </c>
      <c r="G58" t="s">
        <v>22</v>
      </c>
      <c r="H58" s="3">
        <v>299</v>
      </c>
      <c r="I58">
        <v>1</v>
      </c>
      <c r="J58" s="4">
        <v>0.05</v>
      </c>
      <c r="K58" s="3">
        <f t="shared" si="2"/>
        <v>284.05</v>
      </c>
      <c r="L58" s="3">
        <v>168</v>
      </c>
      <c r="M58" s="3">
        <f t="shared" si="3"/>
        <v>116.05000000000001</v>
      </c>
      <c r="N58" t="s">
        <v>46</v>
      </c>
      <c r="O58" t="s">
        <v>33</v>
      </c>
      <c r="P58" t="s">
        <v>25</v>
      </c>
      <c r="Q58" s="5"/>
    </row>
    <row r="59" spans="1:17">
      <c r="A59" t="s">
        <v>116</v>
      </c>
      <c r="B59" s="2">
        <v>46147</v>
      </c>
      <c r="C59" t="s">
        <v>55</v>
      </c>
      <c r="D59" t="s">
        <v>73</v>
      </c>
      <c r="E59" t="s">
        <v>48</v>
      </c>
      <c r="F59" t="s">
        <v>49</v>
      </c>
      <c r="G59" t="s">
        <v>22</v>
      </c>
      <c r="H59" s="3">
        <v>399</v>
      </c>
      <c r="I59">
        <v>14</v>
      </c>
      <c r="J59" s="4">
        <v>0.08</v>
      </c>
      <c r="K59" s="3">
        <f t="shared" si="2"/>
        <v>5139.12</v>
      </c>
      <c r="L59" s="3">
        <v>230</v>
      </c>
      <c r="M59" s="3">
        <f t="shared" si="3"/>
        <v>1919.12</v>
      </c>
      <c r="N59" t="s">
        <v>23</v>
      </c>
      <c r="O59" t="s">
        <v>33</v>
      </c>
      <c r="P59" t="s">
        <v>63</v>
      </c>
      <c r="Q59" s="5" t="s">
        <v>64</v>
      </c>
    </row>
    <row r="60" spans="1:17">
      <c r="A60" t="s">
        <v>117</v>
      </c>
      <c r="B60" s="2">
        <v>46065</v>
      </c>
      <c r="C60" t="s">
        <v>36</v>
      </c>
      <c r="D60" t="s">
        <v>85</v>
      </c>
      <c r="E60" t="s">
        <v>29</v>
      </c>
      <c r="F60" t="s">
        <v>30</v>
      </c>
      <c r="G60" t="s">
        <v>31</v>
      </c>
      <c r="H60" s="3">
        <v>79</v>
      </c>
      <c r="I60">
        <v>18</v>
      </c>
      <c r="J60" s="4">
        <v>0</v>
      </c>
      <c r="K60" s="3">
        <f t="shared" si="2"/>
        <v>1422</v>
      </c>
      <c r="L60" s="3">
        <v>28</v>
      </c>
      <c r="M60" s="3">
        <f t="shared" si="3"/>
        <v>918</v>
      </c>
      <c r="N60" t="s">
        <v>23</v>
      </c>
      <c r="O60" t="s">
        <v>24</v>
      </c>
      <c r="P60" t="s">
        <v>25</v>
      </c>
      <c r="Q60" s="5"/>
    </row>
    <row r="61" spans="1:17">
      <c r="A61" t="s">
        <v>118</v>
      </c>
      <c r="B61" s="2">
        <v>46187</v>
      </c>
      <c r="C61" t="s">
        <v>36</v>
      </c>
      <c r="D61" t="s">
        <v>85</v>
      </c>
      <c r="E61" t="s">
        <v>20</v>
      </c>
      <c r="F61" t="s">
        <v>21</v>
      </c>
      <c r="G61" t="s">
        <v>22</v>
      </c>
      <c r="H61" s="3">
        <v>219</v>
      </c>
      <c r="I61">
        <v>15</v>
      </c>
      <c r="J61" s="4">
        <v>0</v>
      </c>
      <c r="K61" s="3">
        <f t="shared" si="2"/>
        <v>3285</v>
      </c>
      <c r="L61" s="3">
        <v>121</v>
      </c>
      <c r="M61" s="3">
        <f t="shared" si="3"/>
        <v>1470</v>
      </c>
      <c r="N61" t="s">
        <v>46</v>
      </c>
      <c r="O61" t="s">
        <v>24</v>
      </c>
      <c r="P61" t="s">
        <v>63</v>
      </c>
      <c r="Q61" s="5" t="s">
        <v>64</v>
      </c>
    </row>
    <row r="62" spans="1:17">
      <c r="A62" t="s">
        <v>119</v>
      </c>
      <c r="B62" s="2">
        <v>46106</v>
      </c>
      <c r="C62" t="s">
        <v>18</v>
      </c>
      <c r="D62" t="s">
        <v>90</v>
      </c>
      <c r="E62" t="s">
        <v>43</v>
      </c>
      <c r="F62" t="s">
        <v>44</v>
      </c>
      <c r="G62" t="s">
        <v>45</v>
      </c>
      <c r="H62" s="3">
        <v>269</v>
      </c>
      <c r="I62">
        <v>9</v>
      </c>
      <c r="J62" s="4">
        <v>0.08</v>
      </c>
      <c r="K62" s="3">
        <f t="shared" si="2"/>
        <v>2227.3200000000002</v>
      </c>
      <c r="L62" s="3">
        <v>145</v>
      </c>
      <c r="M62" s="3">
        <f t="shared" si="3"/>
        <v>922.32000000000016</v>
      </c>
      <c r="N62" t="s">
        <v>32</v>
      </c>
      <c r="O62" t="s">
        <v>33</v>
      </c>
      <c r="P62" t="s">
        <v>25</v>
      </c>
      <c r="Q62" s="5"/>
    </row>
    <row r="63" spans="1:17">
      <c r="A63" t="s">
        <v>120</v>
      </c>
      <c r="B63" s="2">
        <v>46112</v>
      </c>
      <c r="C63" t="s">
        <v>55</v>
      </c>
      <c r="D63" t="s">
        <v>56</v>
      </c>
      <c r="E63" t="s">
        <v>61</v>
      </c>
      <c r="F63" t="s">
        <v>62</v>
      </c>
      <c r="G63" t="s">
        <v>22</v>
      </c>
      <c r="H63" s="3">
        <v>299</v>
      </c>
      <c r="I63">
        <v>2</v>
      </c>
      <c r="J63" s="4">
        <v>0</v>
      </c>
      <c r="K63" s="3">
        <f t="shared" si="2"/>
        <v>598</v>
      </c>
      <c r="L63" s="3">
        <v>168</v>
      </c>
      <c r="M63" s="3">
        <f t="shared" si="3"/>
        <v>262</v>
      </c>
      <c r="N63" t="s">
        <v>32</v>
      </c>
      <c r="O63" t="s">
        <v>33</v>
      </c>
      <c r="P63" t="s">
        <v>25</v>
      </c>
      <c r="Q63" s="5"/>
    </row>
    <row r="64" spans="1:17">
      <c r="A64" t="s">
        <v>121</v>
      </c>
      <c r="B64" s="2">
        <v>46084</v>
      </c>
      <c r="C64" t="s">
        <v>55</v>
      </c>
      <c r="D64" t="s">
        <v>73</v>
      </c>
      <c r="E64" t="s">
        <v>67</v>
      </c>
      <c r="F64" t="s">
        <v>68</v>
      </c>
      <c r="G64" t="s">
        <v>45</v>
      </c>
      <c r="H64" s="3">
        <v>159</v>
      </c>
      <c r="I64">
        <v>4</v>
      </c>
      <c r="J64" s="4">
        <v>0.1</v>
      </c>
      <c r="K64" s="3">
        <f t="shared" si="2"/>
        <v>572.4</v>
      </c>
      <c r="L64" s="3">
        <v>78</v>
      </c>
      <c r="M64" s="3">
        <f t="shared" si="3"/>
        <v>260.39999999999998</v>
      </c>
      <c r="N64" t="s">
        <v>46</v>
      </c>
      <c r="O64" t="s">
        <v>50</v>
      </c>
      <c r="P64" t="s">
        <v>25</v>
      </c>
      <c r="Q64" s="5"/>
    </row>
    <row r="65" spans="1:17">
      <c r="A65" t="s">
        <v>122</v>
      </c>
      <c r="B65" s="2">
        <v>46178</v>
      </c>
      <c r="C65" t="s">
        <v>27</v>
      </c>
      <c r="D65" t="s">
        <v>28</v>
      </c>
      <c r="E65" t="s">
        <v>67</v>
      </c>
      <c r="F65" t="s">
        <v>68</v>
      </c>
      <c r="G65" t="s">
        <v>45</v>
      </c>
      <c r="H65" s="3">
        <v>159</v>
      </c>
      <c r="I65">
        <v>10</v>
      </c>
      <c r="J65" s="4">
        <v>0</v>
      </c>
      <c r="K65" s="3">
        <f t="shared" si="2"/>
        <v>1590</v>
      </c>
      <c r="L65" s="3">
        <v>78</v>
      </c>
      <c r="M65" s="3">
        <f t="shared" si="3"/>
        <v>810</v>
      </c>
      <c r="N65" t="s">
        <v>23</v>
      </c>
      <c r="O65" t="s">
        <v>33</v>
      </c>
      <c r="P65" t="s">
        <v>25</v>
      </c>
      <c r="Q65" s="5"/>
    </row>
    <row r="66" spans="1:17">
      <c r="A66" t="s">
        <v>123</v>
      </c>
      <c r="B66" s="2">
        <v>46124</v>
      </c>
      <c r="C66" t="s">
        <v>55</v>
      </c>
      <c r="D66" t="s">
        <v>56</v>
      </c>
      <c r="E66" t="s">
        <v>29</v>
      </c>
      <c r="F66" t="s">
        <v>30</v>
      </c>
      <c r="G66" t="s">
        <v>31</v>
      </c>
      <c r="H66" s="3">
        <v>79</v>
      </c>
      <c r="I66">
        <v>8</v>
      </c>
      <c r="J66" s="4">
        <v>0</v>
      </c>
      <c r="K66" s="3">
        <f t="shared" ref="K66:K97" si="4">H66*I66*(1-J66)</f>
        <v>632</v>
      </c>
      <c r="L66" s="3">
        <v>28</v>
      </c>
      <c r="M66" s="3">
        <f t="shared" ref="M66:M97" si="5">K66-L66*I66</f>
        <v>408</v>
      </c>
      <c r="N66" t="s">
        <v>23</v>
      </c>
      <c r="O66" t="s">
        <v>33</v>
      </c>
      <c r="P66" t="s">
        <v>25</v>
      </c>
      <c r="Q66" s="5"/>
    </row>
    <row r="67" spans="1:17">
      <c r="A67" t="s">
        <v>124</v>
      </c>
      <c r="B67" s="2">
        <v>46167</v>
      </c>
      <c r="C67" t="s">
        <v>27</v>
      </c>
      <c r="D67" t="s">
        <v>39</v>
      </c>
      <c r="E67" t="s">
        <v>20</v>
      </c>
      <c r="F67" t="s">
        <v>21</v>
      </c>
      <c r="G67" t="s">
        <v>22</v>
      </c>
      <c r="H67" s="3">
        <v>219</v>
      </c>
      <c r="I67">
        <v>18</v>
      </c>
      <c r="J67" s="4">
        <v>0.08</v>
      </c>
      <c r="K67" s="3">
        <f t="shared" si="4"/>
        <v>3626.6400000000003</v>
      </c>
      <c r="L67" s="3">
        <v>121</v>
      </c>
      <c r="M67" s="3">
        <f t="shared" si="5"/>
        <v>1448.6400000000003</v>
      </c>
      <c r="N67" t="s">
        <v>23</v>
      </c>
      <c r="O67" t="s">
        <v>50</v>
      </c>
      <c r="P67" t="s">
        <v>25</v>
      </c>
      <c r="Q67" s="5"/>
    </row>
    <row r="68" spans="1:17">
      <c r="A68" t="s">
        <v>125</v>
      </c>
      <c r="B68" s="2">
        <v>46130</v>
      </c>
      <c r="C68" t="s">
        <v>36</v>
      </c>
      <c r="D68" t="s">
        <v>85</v>
      </c>
      <c r="E68" t="s">
        <v>61</v>
      </c>
      <c r="F68" t="s">
        <v>62</v>
      </c>
      <c r="G68" t="s">
        <v>22</v>
      </c>
      <c r="H68" s="3">
        <v>299</v>
      </c>
      <c r="I68">
        <v>14</v>
      </c>
      <c r="J68" s="4">
        <v>0.05</v>
      </c>
      <c r="K68" s="3">
        <f t="shared" si="4"/>
        <v>3976.7</v>
      </c>
      <c r="L68" s="3">
        <v>168</v>
      </c>
      <c r="M68" s="3">
        <f t="shared" si="5"/>
        <v>1624.6999999999998</v>
      </c>
      <c r="N68" t="s">
        <v>23</v>
      </c>
      <c r="O68" t="s">
        <v>24</v>
      </c>
      <c r="P68" t="s">
        <v>25</v>
      </c>
      <c r="Q68" s="5"/>
    </row>
    <row r="69" spans="1:17">
      <c r="A69" t="s">
        <v>126</v>
      </c>
      <c r="B69" s="2">
        <v>46068</v>
      </c>
      <c r="C69" t="s">
        <v>18</v>
      </c>
      <c r="D69" t="s">
        <v>90</v>
      </c>
      <c r="E69" t="s">
        <v>29</v>
      </c>
      <c r="F69" t="s">
        <v>30</v>
      </c>
      <c r="G69" t="s">
        <v>31</v>
      </c>
      <c r="H69" s="3">
        <v>79</v>
      </c>
      <c r="I69">
        <v>15</v>
      </c>
      <c r="J69" s="4">
        <v>0.08</v>
      </c>
      <c r="K69" s="3">
        <f t="shared" si="4"/>
        <v>1090.2</v>
      </c>
      <c r="L69" s="3">
        <v>28</v>
      </c>
      <c r="M69" s="3">
        <f t="shared" si="5"/>
        <v>670.2</v>
      </c>
      <c r="N69" t="s">
        <v>46</v>
      </c>
      <c r="O69" t="s">
        <v>24</v>
      </c>
      <c r="P69" t="s">
        <v>25</v>
      </c>
      <c r="Q69" s="5"/>
    </row>
    <row r="70" spans="1:17">
      <c r="A70" t="s">
        <v>127</v>
      </c>
      <c r="B70" s="2">
        <v>46094</v>
      </c>
      <c r="C70" t="s">
        <v>36</v>
      </c>
      <c r="D70" t="s">
        <v>85</v>
      </c>
      <c r="E70" t="s">
        <v>20</v>
      </c>
      <c r="F70" t="s">
        <v>21</v>
      </c>
      <c r="G70" t="s">
        <v>22</v>
      </c>
      <c r="H70" s="3">
        <v>219</v>
      </c>
      <c r="I70">
        <v>15</v>
      </c>
      <c r="J70" s="4">
        <v>0.1</v>
      </c>
      <c r="K70" s="3">
        <f t="shared" si="4"/>
        <v>2956.5</v>
      </c>
      <c r="L70" s="3">
        <v>121</v>
      </c>
      <c r="M70" s="3">
        <f t="shared" si="5"/>
        <v>1141.5</v>
      </c>
      <c r="N70" t="s">
        <v>32</v>
      </c>
      <c r="O70" t="s">
        <v>50</v>
      </c>
      <c r="P70" t="s">
        <v>25</v>
      </c>
      <c r="Q70" s="5"/>
    </row>
    <row r="71" spans="1:17">
      <c r="A71" t="s">
        <v>128</v>
      </c>
      <c r="B71" s="2">
        <v>46069</v>
      </c>
      <c r="C71" t="s">
        <v>36</v>
      </c>
      <c r="D71" t="s">
        <v>85</v>
      </c>
      <c r="E71" t="s">
        <v>40</v>
      </c>
      <c r="F71" t="s">
        <v>41</v>
      </c>
      <c r="G71" t="s">
        <v>22</v>
      </c>
      <c r="H71" s="3">
        <v>129</v>
      </c>
      <c r="I71">
        <v>12</v>
      </c>
      <c r="J71" s="4">
        <v>0.05</v>
      </c>
      <c r="K71" s="3">
        <f t="shared" si="4"/>
        <v>1470.6</v>
      </c>
      <c r="L71" s="3">
        <v>67</v>
      </c>
      <c r="M71" s="3">
        <f t="shared" si="5"/>
        <v>666.59999999999991</v>
      </c>
      <c r="N71" t="s">
        <v>23</v>
      </c>
      <c r="O71" t="s">
        <v>50</v>
      </c>
      <c r="P71" t="s">
        <v>25</v>
      </c>
      <c r="Q71" s="5"/>
    </row>
    <row r="72" spans="1:17">
      <c r="A72" t="s">
        <v>129</v>
      </c>
      <c r="B72" s="2">
        <v>46155</v>
      </c>
      <c r="C72" t="s">
        <v>55</v>
      </c>
      <c r="D72" t="s">
        <v>56</v>
      </c>
      <c r="E72" t="s">
        <v>61</v>
      </c>
      <c r="F72" t="s">
        <v>62</v>
      </c>
      <c r="G72" t="s">
        <v>22</v>
      </c>
      <c r="H72" s="3">
        <v>299</v>
      </c>
      <c r="I72">
        <v>8</v>
      </c>
      <c r="J72" s="4">
        <v>0.15</v>
      </c>
      <c r="K72" s="3">
        <f t="shared" si="4"/>
        <v>2033.2</v>
      </c>
      <c r="L72" s="3">
        <v>168</v>
      </c>
      <c r="M72" s="3">
        <f t="shared" si="5"/>
        <v>689.2</v>
      </c>
      <c r="N72" t="s">
        <v>32</v>
      </c>
      <c r="O72" t="s">
        <v>33</v>
      </c>
      <c r="P72" t="s">
        <v>25</v>
      </c>
      <c r="Q72" s="5"/>
    </row>
    <row r="73" spans="1:17">
      <c r="A73" t="s">
        <v>130</v>
      </c>
      <c r="B73" s="2">
        <v>46188</v>
      </c>
      <c r="C73" t="s">
        <v>36</v>
      </c>
      <c r="D73" t="s">
        <v>37</v>
      </c>
      <c r="E73" t="s">
        <v>43</v>
      </c>
      <c r="F73" t="s">
        <v>44</v>
      </c>
      <c r="G73" t="s">
        <v>45</v>
      </c>
      <c r="H73" s="3">
        <v>269</v>
      </c>
      <c r="I73">
        <v>1</v>
      </c>
      <c r="J73" s="4">
        <v>0</v>
      </c>
      <c r="K73" s="3">
        <f t="shared" si="4"/>
        <v>269</v>
      </c>
      <c r="L73" s="3">
        <v>145</v>
      </c>
      <c r="M73" s="3">
        <f t="shared" si="5"/>
        <v>124</v>
      </c>
      <c r="N73" t="s">
        <v>32</v>
      </c>
      <c r="O73" t="s">
        <v>50</v>
      </c>
      <c r="P73" t="s">
        <v>25</v>
      </c>
      <c r="Q73" s="5"/>
    </row>
    <row r="74" spans="1:17">
      <c r="A74" t="s">
        <v>131</v>
      </c>
      <c r="B74" s="2">
        <v>46144</v>
      </c>
      <c r="C74" t="s">
        <v>18</v>
      </c>
      <c r="D74" t="s">
        <v>90</v>
      </c>
      <c r="E74" t="s">
        <v>40</v>
      </c>
      <c r="F74" t="s">
        <v>41</v>
      </c>
      <c r="G74" t="s">
        <v>22</v>
      </c>
      <c r="H74" s="3">
        <v>129</v>
      </c>
      <c r="I74">
        <v>18</v>
      </c>
      <c r="J74" s="4">
        <v>0.05</v>
      </c>
      <c r="K74" s="3">
        <f t="shared" si="4"/>
        <v>2205.9</v>
      </c>
      <c r="L74" s="3">
        <v>67</v>
      </c>
      <c r="M74" s="3">
        <f t="shared" si="5"/>
        <v>999.90000000000009</v>
      </c>
      <c r="N74" t="s">
        <v>46</v>
      </c>
      <c r="O74" t="s">
        <v>50</v>
      </c>
      <c r="P74" t="s">
        <v>25</v>
      </c>
      <c r="Q74" s="5"/>
    </row>
    <row r="75" spans="1:17">
      <c r="A75" t="s">
        <v>132</v>
      </c>
      <c r="B75" s="2">
        <v>46053</v>
      </c>
      <c r="C75" t="s">
        <v>55</v>
      </c>
      <c r="D75" t="s">
        <v>73</v>
      </c>
      <c r="E75" t="s">
        <v>48</v>
      </c>
      <c r="F75" t="s">
        <v>49</v>
      </c>
      <c r="G75" t="s">
        <v>22</v>
      </c>
      <c r="H75" s="3">
        <v>399</v>
      </c>
      <c r="I75">
        <v>4</v>
      </c>
      <c r="J75" s="4">
        <v>0.15</v>
      </c>
      <c r="K75" s="3">
        <f t="shared" si="4"/>
        <v>1356.6</v>
      </c>
      <c r="L75" s="3">
        <v>230</v>
      </c>
      <c r="M75" s="3">
        <f t="shared" si="5"/>
        <v>436.59999999999991</v>
      </c>
      <c r="N75" t="s">
        <v>32</v>
      </c>
      <c r="O75" t="s">
        <v>24</v>
      </c>
      <c r="P75" t="s">
        <v>25</v>
      </c>
      <c r="Q75" s="5"/>
    </row>
    <row r="76" spans="1:17">
      <c r="A76" t="s">
        <v>133</v>
      </c>
      <c r="B76" s="2">
        <v>46146</v>
      </c>
      <c r="C76" t="s">
        <v>18</v>
      </c>
      <c r="D76" t="s">
        <v>90</v>
      </c>
      <c r="E76" t="s">
        <v>48</v>
      </c>
      <c r="F76" t="s">
        <v>49</v>
      </c>
      <c r="G76" t="s">
        <v>22</v>
      </c>
      <c r="H76" s="3">
        <v>399</v>
      </c>
      <c r="I76">
        <v>4</v>
      </c>
      <c r="J76" s="4">
        <v>0</v>
      </c>
      <c r="K76" s="3">
        <f t="shared" si="4"/>
        <v>1596</v>
      </c>
      <c r="L76" s="3">
        <v>230</v>
      </c>
      <c r="M76" s="3">
        <f t="shared" si="5"/>
        <v>676</v>
      </c>
      <c r="N76" t="s">
        <v>46</v>
      </c>
      <c r="O76" t="s">
        <v>24</v>
      </c>
      <c r="P76" t="s">
        <v>25</v>
      </c>
      <c r="Q76" s="5"/>
    </row>
    <row r="77" spans="1:17">
      <c r="A77" t="s">
        <v>134</v>
      </c>
      <c r="B77" s="2">
        <v>46093</v>
      </c>
      <c r="C77" t="s">
        <v>27</v>
      </c>
      <c r="D77" t="s">
        <v>28</v>
      </c>
      <c r="E77" t="s">
        <v>67</v>
      </c>
      <c r="F77" t="s">
        <v>68</v>
      </c>
      <c r="G77" t="s">
        <v>45</v>
      </c>
      <c r="H77" s="3">
        <v>159</v>
      </c>
      <c r="I77">
        <v>18</v>
      </c>
      <c r="J77" s="4">
        <v>0.05</v>
      </c>
      <c r="K77" s="3">
        <f t="shared" si="4"/>
        <v>2718.9</v>
      </c>
      <c r="L77" s="3">
        <v>78</v>
      </c>
      <c r="M77" s="3">
        <f t="shared" si="5"/>
        <v>1314.9</v>
      </c>
      <c r="N77" t="s">
        <v>46</v>
      </c>
      <c r="O77" t="s">
        <v>24</v>
      </c>
      <c r="P77" t="s">
        <v>25</v>
      </c>
      <c r="Q77" s="5"/>
    </row>
    <row r="78" spans="1:17">
      <c r="A78" t="s">
        <v>135</v>
      </c>
      <c r="B78" s="2">
        <v>46169</v>
      </c>
      <c r="C78" t="s">
        <v>18</v>
      </c>
      <c r="D78" t="s">
        <v>90</v>
      </c>
      <c r="E78" t="s">
        <v>61</v>
      </c>
      <c r="F78" t="s">
        <v>62</v>
      </c>
      <c r="G78" t="s">
        <v>22</v>
      </c>
      <c r="H78" s="3">
        <v>299</v>
      </c>
      <c r="I78">
        <v>16</v>
      </c>
      <c r="J78" s="4">
        <v>0.08</v>
      </c>
      <c r="K78" s="3">
        <f t="shared" si="4"/>
        <v>4401.28</v>
      </c>
      <c r="L78" s="3">
        <v>168</v>
      </c>
      <c r="M78" s="3">
        <f t="shared" si="5"/>
        <v>1713.2799999999997</v>
      </c>
      <c r="N78" t="s">
        <v>46</v>
      </c>
      <c r="O78" t="s">
        <v>50</v>
      </c>
      <c r="P78" t="s">
        <v>25</v>
      </c>
      <c r="Q78" s="5"/>
    </row>
    <row r="79" spans="1:17">
      <c r="A79" t="s">
        <v>136</v>
      </c>
      <c r="B79" s="2">
        <v>46039</v>
      </c>
      <c r="C79" t="s">
        <v>36</v>
      </c>
      <c r="D79" t="s">
        <v>37</v>
      </c>
      <c r="E79" t="s">
        <v>20</v>
      </c>
      <c r="F79" t="s">
        <v>21</v>
      </c>
      <c r="G79" t="s">
        <v>22</v>
      </c>
      <c r="H79" s="3">
        <v>219</v>
      </c>
      <c r="I79">
        <v>3</v>
      </c>
      <c r="J79" s="4">
        <v>0.1</v>
      </c>
      <c r="K79" s="3">
        <f t="shared" si="4"/>
        <v>591.30000000000007</v>
      </c>
      <c r="L79" s="3">
        <v>121</v>
      </c>
      <c r="M79" s="3">
        <f t="shared" si="5"/>
        <v>228.30000000000007</v>
      </c>
      <c r="N79" t="s">
        <v>32</v>
      </c>
      <c r="O79" t="s">
        <v>33</v>
      </c>
      <c r="P79" t="s">
        <v>25</v>
      </c>
      <c r="Q79" s="5"/>
    </row>
    <row r="80" spans="1:17">
      <c r="A80" t="s">
        <v>137</v>
      </c>
      <c r="B80" s="2">
        <v>46044</v>
      </c>
      <c r="C80" t="s">
        <v>55</v>
      </c>
      <c r="D80" t="s">
        <v>56</v>
      </c>
      <c r="E80" t="s">
        <v>52</v>
      </c>
      <c r="F80" t="s">
        <v>53</v>
      </c>
      <c r="G80" t="s">
        <v>45</v>
      </c>
      <c r="H80" s="3">
        <v>189</v>
      </c>
      <c r="I80">
        <v>18</v>
      </c>
      <c r="J80" s="4">
        <v>0.08</v>
      </c>
      <c r="K80" s="3">
        <f t="shared" si="4"/>
        <v>3129.84</v>
      </c>
      <c r="L80" s="3">
        <v>91</v>
      </c>
      <c r="M80" s="3">
        <f t="shared" si="5"/>
        <v>1491.8400000000001</v>
      </c>
      <c r="N80" t="s">
        <v>32</v>
      </c>
      <c r="O80" t="s">
        <v>33</v>
      </c>
      <c r="P80" t="s">
        <v>25</v>
      </c>
      <c r="Q80" s="5"/>
    </row>
    <row r="81" spans="1:17">
      <c r="A81" t="s">
        <v>138</v>
      </c>
      <c r="B81" s="2">
        <v>46138</v>
      </c>
      <c r="C81" t="s">
        <v>36</v>
      </c>
      <c r="D81" t="s">
        <v>37</v>
      </c>
      <c r="E81" t="s">
        <v>29</v>
      </c>
      <c r="F81" t="s">
        <v>30</v>
      </c>
      <c r="G81" t="s">
        <v>31</v>
      </c>
      <c r="H81" s="3">
        <v>79</v>
      </c>
      <c r="I81">
        <v>14</v>
      </c>
      <c r="J81" s="4">
        <v>0.05</v>
      </c>
      <c r="K81" s="3">
        <f t="shared" si="4"/>
        <v>1050.7</v>
      </c>
      <c r="L81" s="3">
        <v>28</v>
      </c>
      <c r="M81" s="3">
        <f t="shared" si="5"/>
        <v>658.7</v>
      </c>
      <c r="N81" t="s">
        <v>23</v>
      </c>
      <c r="O81" t="s">
        <v>24</v>
      </c>
      <c r="P81" t="s">
        <v>25</v>
      </c>
      <c r="Q81" s="5"/>
    </row>
    <row r="82" spans="1:17">
      <c r="A82" t="s">
        <v>139</v>
      </c>
      <c r="B82" s="2">
        <v>46183</v>
      </c>
      <c r="C82" t="s">
        <v>55</v>
      </c>
      <c r="D82" t="s">
        <v>73</v>
      </c>
      <c r="E82" t="s">
        <v>48</v>
      </c>
      <c r="F82" t="s">
        <v>49</v>
      </c>
      <c r="G82" t="s">
        <v>22</v>
      </c>
      <c r="H82" s="3">
        <v>399</v>
      </c>
      <c r="I82">
        <v>3</v>
      </c>
      <c r="J82" s="4">
        <v>0</v>
      </c>
      <c r="K82" s="3">
        <f t="shared" si="4"/>
        <v>1197</v>
      </c>
      <c r="L82" s="3">
        <v>230</v>
      </c>
      <c r="M82" s="3">
        <f t="shared" si="5"/>
        <v>507</v>
      </c>
      <c r="N82" t="s">
        <v>32</v>
      </c>
      <c r="O82" t="s">
        <v>24</v>
      </c>
      <c r="P82" t="s">
        <v>25</v>
      </c>
      <c r="Q82" s="5"/>
    </row>
    <row r="83" spans="1:17">
      <c r="A83" t="s">
        <v>140</v>
      </c>
      <c r="B83" s="2">
        <v>46138</v>
      </c>
      <c r="C83" t="s">
        <v>36</v>
      </c>
      <c r="D83" t="s">
        <v>37</v>
      </c>
      <c r="E83" t="s">
        <v>29</v>
      </c>
      <c r="F83" t="s">
        <v>30</v>
      </c>
      <c r="G83" t="s">
        <v>31</v>
      </c>
      <c r="H83" s="3">
        <v>79</v>
      </c>
      <c r="I83">
        <v>2</v>
      </c>
      <c r="J83" s="4">
        <v>0</v>
      </c>
      <c r="K83" s="3">
        <f t="shared" si="4"/>
        <v>158</v>
      </c>
      <c r="L83" s="3">
        <v>28</v>
      </c>
      <c r="M83" s="3">
        <f t="shared" si="5"/>
        <v>102</v>
      </c>
      <c r="N83" t="s">
        <v>46</v>
      </c>
      <c r="O83" t="s">
        <v>24</v>
      </c>
      <c r="P83" t="s">
        <v>25</v>
      </c>
      <c r="Q83" s="5"/>
    </row>
    <row r="84" spans="1:17">
      <c r="A84" t="s">
        <v>141</v>
      </c>
      <c r="B84" s="2">
        <v>46090</v>
      </c>
      <c r="C84" t="s">
        <v>55</v>
      </c>
      <c r="D84" t="s">
        <v>73</v>
      </c>
      <c r="E84" t="s">
        <v>48</v>
      </c>
      <c r="F84" t="s">
        <v>49</v>
      </c>
      <c r="G84" t="s">
        <v>22</v>
      </c>
      <c r="H84" s="3">
        <v>399</v>
      </c>
      <c r="I84">
        <v>4</v>
      </c>
      <c r="J84" s="4">
        <v>0.1</v>
      </c>
      <c r="K84" s="3">
        <f t="shared" si="4"/>
        <v>1436.4</v>
      </c>
      <c r="L84" s="3">
        <v>230</v>
      </c>
      <c r="M84" s="3">
        <f t="shared" si="5"/>
        <v>516.40000000000009</v>
      </c>
      <c r="N84" t="s">
        <v>46</v>
      </c>
      <c r="O84" t="s">
        <v>24</v>
      </c>
      <c r="P84" t="s">
        <v>25</v>
      </c>
      <c r="Q84" s="5"/>
    </row>
    <row r="85" spans="1:17">
      <c r="A85" t="s">
        <v>142</v>
      </c>
      <c r="B85" s="2">
        <v>46038</v>
      </c>
      <c r="C85" t="s">
        <v>55</v>
      </c>
      <c r="D85" t="s">
        <v>73</v>
      </c>
      <c r="E85" t="s">
        <v>20</v>
      </c>
      <c r="F85" t="s">
        <v>21</v>
      </c>
      <c r="G85" t="s">
        <v>22</v>
      </c>
      <c r="H85" s="3">
        <v>219</v>
      </c>
      <c r="I85">
        <v>10</v>
      </c>
      <c r="J85" s="4">
        <v>0.08</v>
      </c>
      <c r="K85" s="3">
        <f t="shared" si="4"/>
        <v>2014.8000000000002</v>
      </c>
      <c r="L85" s="3">
        <v>121</v>
      </c>
      <c r="M85" s="3">
        <f t="shared" si="5"/>
        <v>804.80000000000018</v>
      </c>
      <c r="N85" t="s">
        <v>23</v>
      </c>
      <c r="O85" t="s">
        <v>50</v>
      </c>
      <c r="P85" t="s">
        <v>25</v>
      </c>
      <c r="Q85" s="5"/>
    </row>
    <row r="86" spans="1:17">
      <c r="A86" t="s">
        <v>143</v>
      </c>
      <c r="B86" s="2">
        <v>46151</v>
      </c>
      <c r="C86" t="s">
        <v>36</v>
      </c>
      <c r="D86" t="s">
        <v>37</v>
      </c>
      <c r="E86" t="s">
        <v>52</v>
      </c>
      <c r="F86" t="s">
        <v>53</v>
      </c>
      <c r="G86" t="s">
        <v>45</v>
      </c>
      <c r="H86" s="3">
        <v>189</v>
      </c>
      <c r="I86">
        <v>3</v>
      </c>
      <c r="J86" s="4">
        <v>0.1</v>
      </c>
      <c r="K86" s="3">
        <f t="shared" si="4"/>
        <v>510.3</v>
      </c>
      <c r="L86" s="3">
        <v>91</v>
      </c>
      <c r="M86" s="3">
        <f t="shared" si="5"/>
        <v>237.3</v>
      </c>
      <c r="N86" t="s">
        <v>23</v>
      </c>
      <c r="O86" t="s">
        <v>50</v>
      </c>
      <c r="P86" t="s">
        <v>63</v>
      </c>
      <c r="Q86" s="5" t="s">
        <v>64</v>
      </c>
    </row>
    <row r="87" spans="1:17">
      <c r="A87" t="s">
        <v>144</v>
      </c>
      <c r="B87" s="2">
        <v>46029</v>
      </c>
      <c r="C87" t="s">
        <v>27</v>
      </c>
      <c r="D87" t="s">
        <v>28</v>
      </c>
      <c r="E87" t="s">
        <v>52</v>
      </c>
      <c r="F87" t="s">
        <v>53</v>
      </c>
      <c r="G87" t="s">
        <v>45</v>
      </c>
      <c r="H87" s="3">
        <v>189</v>
      </c>
      <c r="I87">
        <v>1</v>
      </c>
      <c r="J87" s="4">
        <v>0.15</v>
      </c>
      <c r="K87" s="3">
        <f t="shared" si="4"/>
        <v>160.65</v>
      </c>
      <c r="L87" s="3">
        <v>91</v>
      </c>
      <c r="M87" s="3">
        <f t="shared" si="5"/>
        <v>69.650000000000006</v>
      </c>
      <c r="N87" t="s">
        <v>32</v>
      </c>
      <c r="O87" t="s">
        <v>50</v>
      </c>
      <c r="P87" t="s">
        <v>25</v>
      </c>
      <c r="Q87" s="5"/>
    </row>
    <row r="88" spans="1:17">
      <c r="A88" t="s">
        <v>145</v>
      </c>
      <c r="B88" s="2">
        <v>46094</v>
      </c>
      <c r="C88" t="s">
        <v>55</v>
      </c>
      <c r="D88" t="s">
        <v>73</v>
      </c>
      <c r="E88" t="s">
        <v>43</v>
      </c>
      <c r="F88" t="s">
        <v>44</v>
      </c>
      <c r="G88" t="s">
        <v>45</v>
      </c>
      <c r="H88" s="3">
        <v>269</v>
      </c>
      <c r="I88">
        <v>16</v>
      </c>
      <c r="J88" s="4">
        <v>0</v>
      </c>
      <c r="K88" s="3">
        <f t="shared" si="4"/>
        <v>4304</v>
      </c>
      <c r="L88" s="3">
        <v>145</v>
      </c>
      <c r="M88" s="3">
        <f t="shared" si="5"/>
        <v>1984</v>
      </c>
      <c r="N88" t="s">
        <v>46</v>
      </c>
      <c r="O88" t="s">
        <v>33</v>
      </c>
      <c r="P88" t="s">
        <v>25</v>
      </c>
      <c r="Q88" s="5"/>
    </row>
    <row r="89" spans="1:17">
      <c r="A89" t="s">
        <v>146</v>
      </c>
      <c r="B89" s="2">
        <v>46064</v>
      </c>
      <c r="C89" t="s">
        <v>18</v>
      </c>
      <c r="D89" t="s">
        <v>90</v>
      </c>
      <c r="E89" t="s">
        <v>20</v>
      </c>
      <c r="F89" t="s">
        <v>21</v>
      </c>
      <c r="G89" t="s">
        <v>22</v>
      </c>
      <c r="H89" s="3">
        <v>219</v>
      </c>
      <c r="I89">
        <v>16</v>
      </c>
      <c r="J89" s="4">
        <v>0.05</v>
      </c>
      <c r="K89" s="3">
        <f t="shared" si="4"/>
        <v>3328.7999999999997</v>
      </c>
      <c r="L89" s="3">
        <v>121</v>
      </c>
      <c r="M89" s="3">
        <f t="shared" si="5"/>
        <v>1392.7999999999997</v>
      </c>
      <c r="N89" t="s">
        <v>23</v>
      </c>
      <c r="O89" t="s">
        <v>24</v>
      </c>
      <c r="P89" t="s">
        <v>25</v>
      </c>
      <c r="Q89" s="5"/>
    </row>
    <row r="90" spans="1:17">
      <c r="A90" t="s">
        <v>147</v>
      </c>
      <c r="B90" s="2">
        <v>46045</v>
      </c>
      <c r="C90" t="s">
        <v>18</v>
      </c>
      <c r="D90" t="s">
        <v>90</v>
      </c>
      <c r="E90" t="s">
        <v>43</v>
      </c>
      <c r="F90" t="s">
        <v>44</v>
      </c>
      <c r="G90" t="s">
        <v>45</v>
      </c>
      <c r="H90" s="3">
        <v>269</v>
      </c>
      <c r="I90">
        <v>11</v>
      </c>
      <c r="J90" s="4">
        <v>0</v>
      </c>
      <c r="K90" s="3">
        <f t="shared" si="4"/>
        <v>2959</v>
      </c>
      <c r="L90" s="3">
        <v>145</v>
      </c>
      <c r="M90" s="3">
        <f t="shared" si="5"/>
        <v>1364</v>
      </c>
      <c r="N90" t="s">
        <v>23</v>
      </c>
      <c r="O90" t="s">
        <v>24</v>
      </c>
      <c r="P90" t="s">
        <v>25</v>
      </c>
      <c r="Q90" s="5"/>
    </row>
    <row r="91" spans="1:17">
      <c r="A91" t="s">
        <v>148</v>
      </c>
      <c r="B91" s="2">
        <v>46128</v>
      </c>
      <c r="C91" t="s">
        <v>27</v>
      </c>
      <c r="D91" t="s">
        <v>28</v>
      </c>
      <c r="E91" t="s">
        <v>43</v>
      </c>
      <c r="F91" t="s">
        <v>44</v>
      </c>
      <c r="G91" t="s">
        <v>45</v>
      </c>
      <c r="H91" s="3">
        <v>269</v>
      </c>
      <c r="I91">
        <v>17</v>
      </c>
      <c r="J91" s="4">
        <v>0.05</v>
      </c>
      <c r="K91" s="3">
        <f t="shared" si="4"/>
        <v>4344.3499999999995</v>
      </c>
      <c r="L91" s="3">
        <v>145</v>
      </c>
      <c r="M91" s="3">
        <f t="shared" si="5"/>
        <v>1879.3499999999995</v>
      </c>
      <c r="N91" t="s">
        <v>46</v>
      </c>
      <c r="O91" t="s">
        <v>24</v>
      </c>
      <c r="P91" t="s">
        <v>25</v>
      </c>
      <c r="Q91" s="5"/>
    </row>
    <row r="92" spans="1:17">
      <c r="A92" t="s">
        <v>149</v>
      </c>
      <c r="B92" s="2">
        <v>46091</v>
      </c>
      <c r="C92" t="s">
        <v>55</v>
      </c>
      <c r="D92" t="s">
        <v>73</v>
      </c>
      <c r="E92" t="s">
        <v>48</v>
      </c>
      <c r="F92" t="s">
        <v>49</v>
      </c>
      <c r="G92" t="s">
        <v>22</v>
      </c>
      <c r="H92" s="3">
        <v>399</v>
      </c>
      <c r="I92">
        <v>15</v>
      </c>
      <c r="J92" s="4">
        <v>0.15</v>
      </c>
      <c r="K92" s="3">
        <f t="shared" si="4"/>
        <v>5087.25</v>
      </c>
      <c r="L92" s="3">
        <v>230</v>
      </c>
      <c r="M92" s="3">
        <f t="shared" si="5"/>
        <v>1637.25</v>
      </c>
      <c r="N92" t="s">
        <v>23</v>
      </c>
      <c r="O92" t="s">
        <v>33</v>
      </c>
      <c r="P92" t="s">
        <v>25</v>
      </c>
      <c r="Q92" s="5" t="s">
        <v>34</v>
      </c>
    </row>
    <row r="93" spans="1:17">
      <c r="A93" t="s">
        <v>150</v>
      </c>
      <c r="B93" s="2">
        <v>46063</v>
      </c>
      <c r="C93" t="s">
        <v>18</v>
      </c>
      <c r="D93" t="s">
        <v>19</v>
      </c>
      <c r="E93" t="s">
        <v>48</v>
      </c>
      <c r="F93" t="s">
        <v>49</v>
      </c>
      <c r="G93" t="s">
        <v>22</v>
      </c>
      <c r="H93" s="3">
        <v>399</v>
      </c>
      <c r="I93">
        <v>18</v>
      </c>
      <c r="J93" s="4">
        <v>0.08</v>
      </c>
      <c r="K93" s="3">
        <f t="shared" si="4"/>
        <v>6607.4400000000005</v>
      </c>
      <c r="L93" s="3">
        <v>230</v>
      </c>
      <c r="M93" s="3">
        <f t="shared" si="5"/>
        <v>2467.4400000000005</v>
      </c>
      <c r="N93" t="s">
        <v>32</v>
      </c>
      <c r="O93" t="s">
        <v>50</v>
      </c>
      <c r="P93" t="s">
        <v>25</v>
      </c>
      <c r="Q93" s="5"/>
    </row>
    <row r="94" spans="1:17">
      <c r="A94" t="s">
        <v>151</v>
      </c>
      <c r="B94" s="2">
        <v>46188</v>
      </c>
      <c r="C94" t="s">
        <v>55</v>
      </c>
      <c r="D94" t="s">
        <v>73</v>
      </c>
      <c r="E94" t="s">
        <v>20</v>
      </c>
      <c r="F94" t="s">
        <v>21</v>
      </c>
      <c r="G94" t="s">
        <v>22</v>
      </c>
      <c r="H94" s="3">
        <v>219</v>
      </c>
      <c r="I94">
        <v>10</v>
      </c>
      <c r="J94" s="4">
        <v>0.1</v>
      </c>
      <c r="K94" s="3">
        <f t="shared" si="4"/>
        <v>1971</v>
      </c>
      <c r="L94" s="3">
        <v>121</v>
      </c>
      <c r="M94" s="3">
        <f t="shared" si="5"/>
        <v>761</v>
      </c>
      <c r="N94" t="s">
        <v>46</v>
      </c>
      <c r="O94" t="s">
        <v>50</v>
      </c>
      <c r="P94" t="s">
        <v>25</v>
      </c>
      <c r="Q94" s="5"/>
    </row>
    <row r="95" spans="1:17">
      <c r="A95" t="s">
        <v>152</v>
      </c>
      <c r="B95" s="2">
        <v>46139</v>
      </c>
      <c r="C95" t="s">
        <v>55</v>
      </c>
      <c r="D95" t="s">
        <v>73</v>
      </c>
      <c r="E95" t="s">
        <v>48</v>
      </c>
      <c r="F95" t="s">
        <v>49</v>
      </c>
      <c r="G95" t="s">
        <v>22</v>
      </c>
      <c r="H95" s="3">
        <v>399</v>
      </c>
      <c r="I95">
        <v>7</v>
      </c>
      <c r="J95" s="4">
        <v>0.1</v>
      </c>
      <c r="K95" s="3">
        <f t="shared" si="4"/>
        <v>2513.7000000000003</v>
      </c>
      <c r="L95" s="3">
        <v>230</v>
      </c>
      <c r="M95" s="3">
        <f t="shared" si="5"/>
        <v>903.70000000000027</v>
      </c>
      <c r="N95" t="s">
        <v>32</v>
      </c>
      <c r="O95" t="s">
        <v>50</v>
      </c>
      <c r="P95" t="s">
        <v>25</v>
      </c>
      <c r="Q95" s="5"/>
    </row>
    <row r="96" spans="1:17">
      <c r="A96" t="s">
        <v>153</v>
      </c>
      <c r="B96" s="2">
        <v>46110</v>
      </c>
      <c r="C96" t="s">
        <v>18</v>
      </c>
      <c r="D96" t="s">
        <v>19</v>
      </c>
      <c r="E96" t="s">
        <v>29</v>
      </c>
      <c r="F96" t="s">
        <v>30</v>
      </c>
      <c r="G96" t="s">
        <v>31</v>
      </c>
      <c r="H96" s="3">
        <v>79</v>
      </c>
      <c r="I96">
        <v>10</v>
      </c>
      <c r="J96" s="4">
        <v>0.15</v>
      </c>
      <c r="K96" s="3">
        <f t="shared" si="4"/>
        <v>671.5</v>
      </c>
      <c r="L96" s="3">
        <v>28</v>
      </c>
      <c r="M96" s="3">
        <f t="shared" si="5"/>
        <v>391.5</v>
      </c>
      <c r="N96" t="s">
        <v>23</v>
      </c>
      <c r="O96" t="s">
        <v>50</v>
      </c>
      <c r="P96" t="s">
        <v>25</v>
      </c>
      <c r="Q96" s="5"/>
    </row>
    <row r="97" spans="1:17">
      <c r="A97" t="s">
        <v>154</v>
      </c>
      <c r="B97" s="2">
        <v>46137</v>
      </c>
      <c r="C97" t="s">
        <v>36</v>
      </c>
      <c r="D97" t="s">
        <v>37</v>
      </c>
      <c r="E97" t="s">
        <v>67</v>
      </c>
      <c r="F97" t="s">
        <v>68</v>
      </c>
      <c r="G97" t="s">
        <v>45</v>
      </c>
      <c r="H97" s="3">
        <v>159</v>
      </c>
      <c r="I97">
        <v>11</v>
      </c>
      <c r="J97" s="4">
        <v>0.1</v>
      </c>
      <c r="K97" s="3">
        <f t="shared" si="4"/>
        <v>1574.1000000000001</v>
      </c>
      <c r="L97" s="3">
        <v>78</v>
      </c>
      <c r="M97" s="3">
        <f t="shared" si="5"/>
        <v>716.10000000000014</v>
      </c>
      <c r="N97" t="s">
        <v>46</v>
      </c>
      <c r="O97" t="s">
        <v>24</v>
      </c>
      <c r="P97" t="s">
        <v>25</v>
      </c>
      <c r="Q97" s="5"/>
    </row>
    <row r="98" spans="1:17">
      <c r="A98" t="s">
        <v>155</v>
      </c>
      <c r="B98" s="2">
        <v>46169</v>
      </c>
      <c r="C98" t="s">
        <v>36</v>
      </c>
      <c r="D98" t="s">
        <v>85</v>
      </c>
      <c r="E98" t="s">
        <v>48</v>
      </c>
      <c r="F98" t="s">
        <v>49</v>
      </c>
      <c r="G98" t="s">
        <v>22</v>
      </c>
      <c r="H98" s="3">
        <v>399</v>
      </c>
      <c r="I98">
        <v>14</v>
      </c>
      <c r="J98" s="4">
        <v>0</v>
      </c>
      <c r="K98" s="3">
        <f t="shared" ref="K98:K129" si="6">H98*I98*(1-J98)</f>
        <v>5586</v>
      </c>
      <c r="L98" s="3">
        <v>230</v>
      </c>
      <c r="M98" s="3">
        <f t="shared" ref="M98:M129" si="7">K98-L98*I98</f>
        <v>2366</v>
      </c>
      <c r="N98" t="s">
        <v>46</v>
      </c>
      <c r="O98" t="s">
        <v>50</v>
      </c>
      <c r="P98" t="s">
        <v>25</v>
      </c>
      <c r="Q98" s="5"/>
    </row>
    <row r="99" spans="1:17">
      <c r="A99" t="s">
        <v>156</v>
      </c>
      <c r="B99" s="2">
        <v>46149</v>
      </c>
      <c r="C99" t="s">
        <v>27</v>
      </c>
      <c r="D99" t="s">
        <v>28</v>
      </c>
      <c r="E99" t="s">
        <v>67</v>
      </c>
      <c r="F99" t="s">
        <v>68</v>
      </c>
      <c r="G99" t="s">
        <v>45</v>
      </c>
      <c r="H99" s="3">
        <v>159</v>
      </c>
      <c r="I99">
        <v>17</v>
      </c>
      <c r="J99" s="4">
        <v>0.1</v>
      </c>
      <c r="K99" s="3">
        <f t="shared" si="6"/>
        <v>2432.7000000000003</v>
      </c>
      <c r="L99" s="3">
        <v>78</v>
      </c>
      <c r="M99" s="3">
        <f t="shared" si="7"/>
        <v>1106.7000000000003</v>
      </c>
      <c r="N99" t="s">
        <v>46</v>
      </c>
      <c r="O99" t="s">
        <v>24</v>
      </c>
      <c r="P99" t="s">
        <v>25</v>
      </c>
      <c r="Q99" s="5"/>
    </row>
    <row r="100" spans="1:17">
      <c r="A100" t="s">
        <v>157</v>
      </c>
      <c r="B100" s="2">
        <v>46026</v>
      </c>
      <c r="C100" t="s">
        <v>55</v>
      </c>
      <c r="D100" t="s">
        <v>73</v>
      </c>
      <c r="E100" t="s">
        <v>43</v>
      </c>
      <c r="F100" t="s">
        <v>44</v>
      </c>
      <c r="G100" t="s">
        <v>45</v>
      </c>
      <c r="H100" s="3">
        <v>269</v>
      </c>
      <c r="I100">
        <v>5</v>
      </c>
      <c r="J100" s="4">
        <v>0</v>
      </c>
      <c r="K100" s="3">
        <f t="shared" si="6"/>
        <v>1345</v>
      </c>
      <c r="L100" s="3">
        <v>145</v>
      </c>
      <c r="M100" s="3">
        <f t="shared" si="7"/>
        <v>620</v>
      </c>
      <c r="N100" t="s">
        <v>46</v>
      </c>
      <c r="O100" t="s">
        <v>33</v>
      </c>
      <c r="P100" t="s">
        <v>25</v>
      </c>
      <c r="Q100" s="5"/>
    </row>
    <row r="101" spans="1:17">
      <c r="A101" t="s">
        <v>158</v>
      </c>
      <c r="B101" s="2">
        <v>46189</v>
      </c>
      <c r="C101" t="s">
        <v>27</v>
      </c>
      <c r="D101" t="s">
        <v>39</v>
      </c>
      <c r="E101" t="s">
        <v>29</v>
      </c>
      <c r="F101" t="s">
        <v>30</v>
      </c>
      <c r="G101" t="s">
        <v>31</v>
      </c>
      <c r="H101" s="3">
        <v>79</v>
      </c>
      <c r="I101">
        <v>18</v>
      </c>
      <c r="J101" s="4">
        <v>0.08</v>
      </c>
      <c r="K101" s="3">
        <f t="shared" si="6"/>
        <v>1308.24</v>
      </c>
      <c r="L101" s="3">
        <v>28</v>
      </c>
      <c r="M101" s="3">
        <f t="shared" si="7"/>
        <v>804.24</v>
      </c>
      <c r="N101" t="s">
        <v>46</v>
      </c>
      <c r="O101" t="s">
        <v>33</v>
      </c>
      <c r="P101" t="s">
        <v>25</v>
      </c>
      <c r="Q101" s="5"/>
    </row>
    <row r="102" spans="1:17">
      <c r="A102" t="s">
        <v>159</v>
      </c>
      <c r="B102" s="2">
        <v>46181</v>
      </c>
      <c r="C102" t="s">
        <v>27</v>
      </c>
      <c r="D102" t="s">
        <v>28</v>
      </c>
      <c r="E102" t="s">
        <v>61</v>
      </c>
      <c r="F102" t="s">
        <v>62</v>
      </c>
      <c r="G102" t="s">
        <v>22</v>
      </c>
      <c r="H102" s="3">
        <v>299</v>
      </c>
      <c r="I102">
        <v>10</v>
      </c>
      <c r="J102" s="4">
        <v>0</v>
      </c>
      <c r="K102" s="3">
        <f t="shared" si="6"/>
        <v>2990</v>
      </c>
      <c r="L102" s="3">
        <v>168</v>
      </c>
      <c r="M102" s="3">
        <f t="shared" si="7"/>
        <v>1310</v>
      </c>
      <c r="N102" t="s">
        <v>32</v>
      </c>
      <c r="O102" t="s">
        <v>33</v>
      </c>
      <c r="P102" t="s">
        <v>25</v>
      </c>
      <c r="Q102" s="5"/>
    </row>
    <row r="103" spans="1:17">
      <c r="A103" t="s">
        <v>160</v>
      </c>
      <c r="B103" s="2">
        <v>46136</v>
      </c>
      <c r="C103" t="s">
        <v>55</v>
      </c>
      <c r="D103" t="s">
        <v>73</v>
      </c>
      <c r="E103" t="s">
        <v>20</v>
      </c>
      <c r="F103" t="s">
        <v>21</v>
      </c>
      <c r="G103" t="s">
        <v>22</v>
      </c>
      <c r="H103" s="3">
        <v>219</v>
      </c>
      <c r="I103">
        <v>1</v>
      </c>
      <c r="J103" s="4">
        <v>0</v>
      </c>
      <c r="K103" s="3">
        <f t="shared" si="6"/>
        <v>219</v>
      </c>
      <c r="L103" s="3">
        <v>121</v>
      </c>
      <c r="M103" s="3">
        <f t="shared" si="7"/>
        <v>98</v>
      </c>
      <c r="N103" t="s">
        <v>46</v>
      </c>
      <c r="O103" t="s">
        <v>50</v>
      </c>
      <c r="P103" t="s">
        <v>25</v>
      </c>
      <c r="Q103" s="5"/>
    </row>
    <row r="104" spans="1:17">
      <c r="A104" t="s">
        <v>161</v>
      </c>
      <c r="B104" s="2">
        <v>46060</v>
      </c>
      <c r="C104" t="s">
        <v>55</v>
      </c>
      <c r="D104" t="s">
        <v>73</v>
      </c>
      <c r="E104" t="s">
        <v>29</v>
      </c>
      <c r="F104" t="s">
        <v>30</v>
      </c>
      <c r="G104" t="s">
        <v>31</v>
      </c>
      <c r="H104" s="3">
        <v>79</v>
      </c>
      <c r="I104">
        <v>6</v>
      </c>
      <c r="J104" s="4">
        <v>0</v>
      </c>
      <c r="K104" s="3">
        <f t="shared" si="6"/>
        <v>474</v>
      </c>
      <c r="L104" s="3">
        <v>28</v>
      </c>
      <c r="M104" s="3">
        <f t="shared" si="7"/>
        <v>306</v>
      </c>
      <c r="N104" t="s">
        <v>46</v>
      </c>
      <c r="O104" t="s">
        <v>33</v>
      </c>
      <c r="P104" t="s">
        <v>25</v>
      </c>
      <c r="Q104" s="5"/>
    </row>
    <row r="105" spans="1:17">
      <c r="A105" t="s">
        <v>162</v>
      </c>
      <c r="B105" s="2">
        <v>46150</v>
      </c>
      <c r="C105" t="s">
        <v>55</v>
      </c>
      <c r="D105" t="s">
        <v>56</v>
      </c>
      <c r="E105" t="s">
        <v>48</v>
      </c>
      <c r="F105" t="s">
        <v>49</v>
      </c>
      <c r="G105" t="s">
        <v>22</v>
      </c>
      <c r="H105" s="3">
        <v>399</v>
      </c>
      <c r="I105">
        <v>15</v>
      </c>
      <c r="J105" s="4">
        <v>0.15</v>
      </c>
      <c r="K105" s="3">
        <f t="shared" si="6"/>
        <v>5087.25</v>
      </c>
      <c r="L105" s="3">
        <v>230</v>
      </c>
      <c r="M105" s="3">
        <f t="shared" si="7"/>
        <v>1637.25</v>
      </c>
      <c r="N105" t="s">
        <v>32</v>
      </c>
      <c r="O105" t="s">
        <v>50</v>
      </c>
      <c r="P105" t="s">
        <v>25</v>
      </c>
      <c r="Q105" s="5"/>
    </row>
    <row r="106" spans="1:17">
      <c r="A106" t="s">
        <v>163</v>
      </c>
      <c r="B106" s="2">
        <v>46196</v>
      </c>
      <c r="C106" t="s">
        <v>55</v>
      </c>
      <c r="D106" t="s">
        <v>56</v>
      </c>
      <c r="E106" t="s">
        <v>52</v>
      </c>
      <c r="F106" t="s">
        <v>53</v>
      </c>
      <c r="G106" t="s">
        <v>45</v>
      </c>
      <c r="H106" s="3">
        <v>189</v>
      </c>
      <c r="I106">
        <v>15</v>
      </c>
      <c r="J106" s="4">
        <v>0.05</v>
      </c>
      <c r="K106" s="3">
        <f t="shared" si="6"/>
        <v>2693.25</v>
      </c>
      <c r="L106" s="3">
        <v>91</v>
      </c>
      <c r="M106" s="3">
        <f t="shared" si="7"/>
        <v>1328.25</v>
      </c>
      <c r="N106" t="s">
        <v>46</v>
      </c>
      <c r="O106" t="s">
        <v>33</v>
      </c>
      <c r="P106" t="s">
        <v>25</v>
      </c>
      <c r="Q106" s="5"/>
    </row>
    <row r="107" spans="1:17">
      <c r="A107" t="s">
        <v>164</v>
      </c>
      <c r="B107" s="2">
        <v>46139</v>
      </c>
      <c r="C107" t="s">
        <v>18</v>
      </c>
      <c r="D107" t="s">
        <v>19</v>
      </c>
      <c r="E107" t="s">
        <v>52</v>
      </c>
      <c r="F107" t="s">
        <v>53</v>
      </c>
      <c r="G107" t="s">
        <v>45</v>
      </c>
      <c r="H107" s="3">
        <v>189</v>
      </c>
      <c r="I107">
        <v>13</v>
      </c>
      <c r="J107" s="4">
        <v>0.08</v>
      </c>
      <c r="K107" s="3">
        <f t="shared" si="6"/>
        <v>2260.44</v>
      </c>
      <c r="L107" s="3">
        <v>91</v>
      </c>
      <c r="M107" s="3">
        <f t="shared" si="7"/>
        <v>1077.44</v>
      </c>
      <c r="N107" t="s">
        <v>46</v>
      </c>
      <c r="O107" t="s">
        <v>33</v>
      </c>
      <c r="P107" t="s">
        <v>25</v>
      </c>
      <c r="Q107" s="5"/>
    </row>
    <row r="108" spans="1:17">
      <c r="A108" t="s">
        <v>165</v>
      </c>
      <c r="B108" s="2">
        <v>46202</v>
      </c>
      <c r="C108" t="s">
        <v>18</v>
      </c>
      <c r="D108" t="s">
        <v>19</v>
      </c>
      <c r="E108" t="s">
        <v>52</v>
      </c>
      <c r="F108" t="s">
        <v>53</v>
      </c>
      <c r="G108" t="s">
        <v>45</v>
      </c>
      <c r="H108" s="3">
        <v>189</v>
      </c>
      <c r="I108">
        <v>13</v>
      </c>
      <c r="J108" s="4">
        <v>0.05</v>
      </c>
      <c r="K108" s="3">
        <f t="shared" si="6"/>
        <v>2334.15</v>
      </c>
      <c r="L108" s="3">
        <v>91</v>
      </c>
      <c r="M108" s="3">
        <f t="shared" si="7"/>
        <v>1151.1500000000001</v>
      </c>
      <c r="N108" t="s">
        <v>23</v>
      </c>
      <c r="O108" t="s">
        <v>24</v>
      </c>
      <c r="P108" t="s">
        <v>63</v>
      </c>
      <c r="Q108" s="5" t="s">
        <v>78</v>
      </c>
    </row>
    <row r="109" spans="1:17">
      <c r="A109" t="s">
        <v>166</v>
      </c>
      <c r="B109" s="2">
        <v>46096</v>
      </c>
      <c r="C109" t="s">
        <v>55</v>
      </c>
      <c r="D109" t="s">
        <v>73</v>
      </c>
      <c r="E109" t="s">
        <v>43</v>
      </c>
      <c r="F109" t="s">
        <v>44</v>
      </c>
      <c r="G109" t="s">
        <v>45</v>
      </c>
      <c r="H109" s="3">
        <v>269</v>
      </c>
      <c r="I109">
        <v>8</v>
      </c>
      <c r="J109" s="4">
        <v>0.15</v>
      </c>
      <c r="K109" s="3">
        <f t="shared" si="6"/>
        <v>1829.2</v>
      </c>
      <c r="L109" s="3">
        <v>145</v>
      </c>
      <c r="M109" s="3">
        <f t="shared" si="7"/>
        <v>669.2</v>
      </c>
      <c r="N109" t="s">
        <v>23</v>
      </c>
      <c r="O109" t="s">
        <v>33</v>
      </c>
      <c r="P109" t="s">
        <v>25</v>
      </c>
      <c r="Q109" s="5"/>
    </row>
    <row r="110" spans="1:17">
      <c r="A110" t="s">
        <v>167</v>
      </c>
      <c r="B110" s="2">
        <v>46183</v>
      </c>
      <c r="C110" t="s">
        <v>27</v>
      </c>
      <c r="D110" t="s">
        <v>28</v>
      </c>
      <c r="E110" t="s">
        <v>67</v>
      </c>
      <c r="F110" t="s">
        <v>68</v>
      </c>
      <c r="G110" t="s">
        <v>45</v>
      </c>
      <c r="H110" s="3">
        <v>159</v>
      </c>
      <c r="I110">
        <v>10</v>
      </c>
      <c r="J110" s="4">
        <v>0.08</v>
      </c>
      <c r="K110" s="3">
        <f t="shared" si="6"/>
        <v>1462.8</v>
      </c>
      <c r="L110" s="3">
        <v>78</v>
      </c>
      <c r="M110" s="3">
        <f t="shared" si="7"/>
        <v>682.8</v>
      </c>
      <c r="N110" t="s">
        <v>23</v>
      </c>
      <c r="O110" t="s">
        <v>24</v>
      </c>
      <c r="P110" t="s">
        <v>63</v>
      </c>
      <c r="Q110" s="5" t="s">
        <v>64</v>
      </c>
    </row>
    <row r="111" spans="1:17">
      <c r="A111" t="s">
        <v>168</v>
      </c>
      <c r="B111" s="2">
        <v>46098</v>
      </c>
      <c r="C111" t="s">
        <v>18</v>
      </c>
      <c r="D111" t="s">
        <v>90</v>
      </c>
      <c r="E111" t="s">
        <v>20</v>
      </c>
      <c r="F111" t="s">
        <v>21</v>
      </c>
      <c r="G111" t="s">
        <v>22</v>
      </c>
      <c r="H111" s="3">
        <v>219</v>
      </c>
      <c r="I111">
        <v>6</v>
      </c>
      <c r="J111" s="4">
        <v>0</v>
      </c>
      <c r="K111" s="3">
        <f t="shared" si="6"/>
        <v>1314</v>
      </c>
      <c r="L111" s="3">
        <v>121</v>
      </c>
      <c r="M111" s="3">
        <f t="shared" si="7"/>
        <v>588</v>
      </c>
      <c r="N111" t="s">
        <v>46</v>
      </c>
      <c r="O111" t="s">
        <v>33</v>
      </c>
      <c r="P111" t="s">
        <v>25</v>
      </c>
      <c r="Q111" s="5"/>
    </row>
    <row r="112" spans="1:17">
      <c r="A112" t="s">
        <v>169</v>
      </c>
      <c r="B112" s="2">
        <v>46065</v>
      </c>
      <c r="C112" t="s">
        <v>18</v>
      </c>
      <c r="D112" t="s">
        <v>90</v>
      </c>
      <c r="E112" t="s">
        <v>52</v>
      </c>
      <c r="F112" t="s">
        <v>53</v>
      </c>
      <c r="G112" t="s">
        <v>45</v>
      </c>
      <c r="H112" s="3">
        <v>189</v>
      </c>
      <c r="I112">
        <v>10</v>
      </c>
      <c r="J112" s="4">
        <v>0.15</v>
      </c>
      <c r="K112" s="3">
        <f t="shared" si="6"/>
        <v>1606.5</v>
      </c>
      <c r="L112" s="3">
        <v>91</v>
      </c>
      <c r="M112" s="3">
        <f t="shared" si="7"/>
        <v>696.5</v>
      </c>
      <c r="N112" t="s">
        <v>46</v>
      </c>
      <c r="O112" t="s">
        <v>24</v>
      </c>
      <c r="P112" t="s">
        <v>25</v>
      </c>
      <c r="Q112" s="5"/>
    </row>
    <row r="113" spans="1:17">
      <c r="A113" t="s">
        <v>170</v>
      </c>
      <c r="B113" s="2">
        <v>46080</v>
      </c>
      <c r="C113" t="s">
        <v>36</v>
      </c>
      <c r="D113" t="s">
        <v>37</v>
      </c>
      <c r="E113" t="s">
        <v>67</v>
      </c>
      <c r="F113" t="s">
        <v>68</v>
      </c>
      <c r="G113" t="s">
        <v>45</v>
      </c>
      <c r="H113" s="3">
        <v>159</v>
      </c>
      <c r="I113">
        <v>3</v>
      </c>
      <c r="J113" s="4">
        <v>0.08</v>
      </c>
      <c r="K113" s="3">
        <f t="shared" si="6"/>
        <v>438.84000000000003</v>
      </c>
      <c r="L113" s="3">
        <v>78</v>
      </c>
      <c r="M113" s="3">
        <f t="shared" si="7"/>
        <v>204.84000000000003</v>
      </c>
      <c r="N113" t="s">
        <v>32</v>
      </c>
      <c r="O113" t="s">
        <v>50</v>
      </c>
      <c r="P113" t="s">
        <v>63</v>
      </c>
      <c r="Q113" s="5" t="s">
        <v>78</v>
      </c>
    </row>
    <row r="114" spans="1:17">
      <c r="A114" t="s">
        <v>171</v>
      </c>
      <c r="B114" s="2">
        <v>46195</v>
      </c>
      <c r="C114" t="s">
        <v>18</v>
      </c>
      <c r="D114" t="s">
        <v>90</v>
      </c>
      <c r="E114" t="s">
        <v>40</v>
      </c>
      <c r="F114" t="s">
        <v>41</v>
      </c>
      <c r="G114" t="s">
        <v>22</v>
      </c>
      <c r="H114" s="3">
        <v>129</v>
      </c>
      <c r="I114">
        <v>12</v>
      </c>
      <c r="J114" s="4">
        <v>0</v>
      </c>
      <c r="K114" s="3">
        <f t="shared" si="6"/>
        <v>1548</v>
      </c>
      <c r="L114" s="3">
        <v>67</v>
      </c>
      <c r="M114" s="3">
        <f t="shared" si="7"/>
        <v>744</v>
      </c>
      <c r="N114" t="s">
        <v>23</v>
      </c>
      <c r="O114" t="s">
        <v>33</v>
      </c>
      <c r="P114" t="s">
        <v>25</v>
      </c>
      <c r="Q114" s="5"/>
    </row>
    <row r="115" spans="1:17">
      <c r="A115" t="s">
        <v>172</v>
      </c>
      <c r="B115" s="2">
        <v>46179</v>
      </c>
      <c r="C115" t="s">
        <v>55</v>
      </c>
      <c r="D115" t="s">
        <v>56</v>
      </c>
      <c r="E115" t="s">
        <v>40</v>
      </c>
      <c r="F115" t="s">
        <v>41</v>
      </c>
      <c r="G115" t="s">
        <v>22</v>
      </c>
      <c r="H115" s="3">
        <v>129</v>
      </c>
      <c r="I115">
        <v>15</v>
      </c>
      <c r="J115" s="4">
        <v>0.15</v>
      </c>
      <c r="K115" s="3">
        <f t="shared" si="6"/>
        <v>1644.75</v>
      </c>
      <c r="L115" s="3">
        <v>67</v>
      </c>
      <c r="M115" s="3">
        <f t="shared" si="7"/>
        <v>639.75</v>
      </c>
      <c r="N115" t="s">
        <v>32</v>
      </c>
      <c r="O115" t="s">
        <v>24</v>
      </c>
      <c r="P115" t="s">
        <v>25</v>
      </c>
      <c r="Q115" s="5"/>
    </row>
    <row r="116" spans="1:17">
      <c r="A116" t="s">
        <v>173</v>
      </c>
      <c r="B116" s="2">
        <v>46100</v>
      </c>
      <c r="C116" t="s">
        <v>36</v>
      </c>
      <c r="D116" t="s">
        <v>85</v>
      </c>
      <c r="E116" t="s">
        <v>61</v>
      </c>
      <c r="F116" t="s">
        <v>62</v>
      </c>
      <c r="G116" t="s">
        <v>22</v>
      </c>
      <c r="H116" s="3">
        <v>299</v>
      </c>
      <c r="I116">
        <v>4</v>
      </c>
      <c r="J116" s="4">
        <v>0</v>
      </c>
      <c r="K116" s="3">
        <f t="shared" si="6"/>
        <v>1196</v>
      </c>
      <c r="L116" s="3">
        <v>168</v>
      </c>
      <c r="M116" s="3">
        <f t="shared" si="7"/>
        <v>524</v>
      </c>
      <c r="N116" t="s">
        <v>46</v>
      </c>
      <c r="O116" t="s">
        <v>50</v>
      </c>
      <c r="P116" t="s">
        <v>25</v>
      </c>
      <c r="Q116" s="5"/>
    </row>
    <row r="117" spans="1:17">
      <c r="A117" t="s">
        <v>174</v>
      </c>
      <c r="B117" s="2">
        <v>46173</v>
      </c>
      <c r="C117" t="s">
        <v>55</v>
      </c>
      <c r="D117" t="s">
        <v>73</v>
      </c>
      <c r="E117" t="s">
        <v>29</v>
      </c>
      <c r="F117" t="s">
        <v>30</v>
      </c>
      <c r="G117" t="s">
        <v>31</v>
      </c>
      <c r="H117" s="3">
        <v>79</v>
      </c>
      <c r="I117">
        <v>4</v>
      </c>
      <c r="J117" s="4">
        <v>0.08</v>
      </c>
      <c r="K117" s="3">
        <f t="shared" si="6"/>
        <v>290.72000000000003</v>
      </c>
      <c r="L117" s="3">
        <v>28</v>
      </c>
      <c r="M117" s="3">
        <f t="shared" si="7"/>
        <v>178.72000000000003</v>
      </c>
      <c r="N117" t="s">
        <v>46</v>
      </c>
      <c r="O117" t="s">
        <v>24</v>
      </c>
      <c r="P117" t="s">
        <v>25</v>
      </c>
      <c r="Q117" s="5"/>
    </row>
    <row r="118" spans="1:17">
      <c r="A118" t="s">
        <v>175</v>
      </c>
      <c r="B118" s="2">
        <v>46078</v>
      </c>
      <c r="C118" t="s">
        <v>36</v>
      </c>
      <c r="D118" t="s">
        <v>37</v>
      </c>
      <c r="E118" t="s">
        <v>40</v>
      </c>
      <c r="F118" t="s">
        <v>41</v>
      </c>
      <c r="G118" t="s">
        <v>22</v>
      </c>
      <c r="H118" s="3">
        <v>129</v>
      </c>
      <c r="I118">
        <v>8</v>
      </c>
      <c r="J118" s="4">
        <v>0.05</v>
      </c>
      <c r="K118" s="3">
        <f t="shared" si="6"/>
        <v>980.4</v>
      </c>
      <c r="L118" s="3">
        <v>67</v>
      </c>
      <c r="M118" s="3">
        <f t="shared" si="7"/>
        <v>444.4</v>
      </c>
      <c r="N118" t="s">
        <v>23</v>
      </c>
      <c r="O118" t="s">
        <v>33</v>
      </c>
      <c r="P118" t="s">
        <v>25</v>
      </c>
      <c r="Q118" s="5"/>
    </row>
    <row r="119" spans="1:17">
      <c r="A119" t="s">
        <v>176</v>
      </c>
      <c r="B119" s="2">
        <v>46038</v>
      </c>
      <c r="C119" t="s">
        <v>36</v>
      </c>
      <c r="D119" t="s">
        <v>37</v>
      </c>
      <c r="E119" t="s">
        <v>40</v>
      </c>
      <c r="F119" t="s">
        <v>41</v>
      </c>
      <c r="G119" t="s">
        <v>22</v>
      </c>
      <c r="H119" s="3">
        <v>129</v>
      </c>
      <c r="I119">
        <v>7</v>
      </c>
      <c r="J119" s="4">
        <v>0</v>
      </c>
      <c r="K119" s="3">
        <f t="shared" si="6"/>
        <v>903</v>
      </c>
      <c r="L119" s="3">
        <v>67</v>
      </c>
      <c r="M119" s="3">
        <f t="shared" si="7"/>
        <v>434</v>
      </c>
      <c r="N119" t="s">
        <v>32</v>
      </c>
      <c r="O119" t="s">
        <v>33</v>
      </c>
      <c r="P119" t="s">
        <v>25</v>
      </c>
      <c r="Q119" s="5"/>
    </row>
    <row r="120" spans="1:17">
      <c r="A120" t="s">
        <v>177</v>
      </c>
      <c r="B120" s="2">
        <v>46187</v>
      </c>
      <c r="C120" t="s">
        <v>27</v>
      </c>
      <c r="D120" t="s">
        <v>28</v>
      </c>
      <c r="E120" t="s">
        <v>48</v>
      </c>
      <c r="F120" t="s">
        <v>49</v>
      </c>
      <c r="G120" t="s">
        <v>22</v>
      </c>
      <c r="H120" s="3">
        <v>399</v>
      </c>
      <c r="I120">
        <v>11</v>
      </c>
      <c r="J120" s="4">
        <v>0</v>
      </c>
      <c r="K120" s="3">
        <f t="shared" si="6"/>
        <v>4389</v>
      </c>
      <c r="L120" s="3">
        <v>230</v>
      </c>
      <c r="M120" s="3">
        <f t="shared" si="7"/>
        <v>1859</v>
      </c>
      <c r="N120" t="s">
        <v>32</v>
      </c>
      <c r="O120" t="s">
        <v>24</v>
      </c>
      <c r="P120" t="s">
        <v>25</v>
      </c>
      <c r="Q120" s="5"/>
    </row>
    <row r="121" spans="1:17">
      <c r="A121" t="s">
        <v>178</v>
      </c>
      <c r="B121" s="2">
        <v>46173</v>
      </c>
      <c r="C121" t="s">
        <v>55</v>
      </c>
      <c r="D121" t="s">
        <v>56</v>
      </c>
      <c r="E121" t="s">
        <v>48</v>
      </c>
      <c r="F121" t="s">
        <v>49</v>
      </c>
      <c r="G121" t="s">
        <v>22</v>
      </c>
      <c r="H121" s="3">
        <v>399</v>
      </c>
      <c r="I121">
        <v>11</v>
      </c>
      <c r="J121" s="4">
        <v>0</v>
      </c>
      <c r="K121" s="3">
        <f t="shared" si="6"/>
        <v>4389</v>
      </c>
      <c r="L121" s="3">
        <v>230</v>
      </c>
      <c r="M121" s="3">
        <f t="shared" si="7"/>
        <v>1859</v>
      </c>
      <c r="N121" t="s">
        <v>46</v>
      </c>
      <c r="O121" t="s">
        <v>24</v>
      </c>
      <c r="P121" t="s">
        <v>25</v>
      </c>
      <c r="Q121" s="5"/>
    </row>
  </sheetData>
  <phoneticPr fontId="4" type="noConversion"/>
  <conditionalFormatting sqref="M2:M121">
    <cfRule type="colorScale" priority="1">
      <colorScale>
        <cfvo type="min"/>
        <cfvo type="percentile" val="50"/>
        <cfvo type="max"/>
        <color rgb="FFF8CBAD"/>
        <color rgb="FFFFF2CC"/>
        <color rgb="FFC6E0B4"/>
      </colorScale>
    </cfRule>
  </conditionalFormatting>
  <conditionalFormatting sqref="P2:P121">
    <cfRule type="expression" dxfId="0" priority="2">
      <formula>P2="Yes"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25"/>
  <cols>
    <col min="1" max="1" width="12" customWidth="1"/>
    <col min="2" max="2" width="22" customWidth="1"/>
    <col min="3" max="3" width="14" customWidth="1"/>
    <col min="4" max="5" width="13" customWidth="1"/>
  </cols>
  <sheetData>
    <row r="1" spans="1:5" ht="15">
      <c r="A1" s="1" t="s">
        <v>4</v>
      </c>
      <c r="B1" s="1" t="s">
        <v>5</v>
      </c>
      <c r="C1" s="1" t="s">
        <v>6</v>
      </c>
      <c r="D1" s="1" t="s">
        <v>179</v>
      </c>
      <c r="E1" s="1" t="s">
        <v>11</v>
      </c>
    </row>
    <row r="2" spans="1:5">
      <c r="A2" t="s">
        <v>61</v>
      </c>
      <c r="B2" t="s">
        <v>62</v>
      </c>
      <c r="C2" t="s">
        <v>22</v>
      </c>
      <c r="D2" s="3">
        <v>299</v>
      </c>
      <c r="E2" s="3">
        <v>168</v>
      </c>
    </row>
    <row r="3" spans="1:5">
      <c r="A3" t="s">
        <v>20</v>
      </c>
      <c r="B3" t="s">
        <v>21</v>
      </c>
      <c r="C3" t="s">
        <v>22</v>
      </c>
      <c r="D3" s="3">
        <v>219</v>
      </c>
      <c r="E3" s="3">
        <v>121</v>
      </c>
    </row>
    <row r="4" spans="1:5">
      <c r="A4" t="s">
        <v>67</v>
      </c>
      <c r="B4" t="s">
        <v>68</v>
      </c>
      <c r="C4" t="s">
        <v>45</v>
      </c>
      <c r="D4" s="3">
        <v>159</v>
      </c>
      <c r="E4" s="3">
        <v>78</v>
      </c>
    </row>
    <row r="5" spans="1:5">
      <c r="A5" t="s">
        <v>48</v>
      </c>
      <c r="B5" t="s">
        <v>49</v>
      </c>
      <c r="C5" t="s">
        <v>22</v>
      </c>
      <c r="D5" s="3">
        <v>399</v>
      </c>
      <c r="E5" s="3">
        <v>230</v>
      </c>
    </row>
    <row r="6" spans="1:5">
      <c r="A6" t="s">
        <v>52</v>
      </c>
      <c r="B6" t="s">
        <v>53</v>
      </c>
      <c r="C6" t="s">
        <v>45</v>
      </c>
      <c r="D6" s="3">
        <v>189</v>
      </c>
      <c r="E6" s="3">
        <v>91</v>
      </c>
    </row>
    <row r="7" spans="1:5">
      <c r="A7" t="s">
        <v>40</v>
      </c>
      <c r="B7" t="s">
        <v>41</v>
      </c>
      <c r="C7" t="s">
        <v>22</v>
      </c>
      <c r="D7" s="3">
        <v>129</v>
      </c>
      <c r="E7" s="3">
        <v>67</v>
      </c>
    </row>
    <row r="8" spans="1:5">
      <c r="A8" t="s">
        <v>29</v>
      </c>
      <c r="B8" t="s">
        <v>30</v>
      </c>
      <c r="C8" t="s">
        <v>31</v>
      </c>
      <c r="D8" s="3">
        <v>79</v>
      </c>
      <c r="E8" s="3">
        <v>28</v>
      </c>
    </row>
    <row r="9" spans="1:5">
      <c r="A9" t="s">
        <v>43</v>
      </c>
      <c r="B9" t="s">
        <v>44</v>
      </c>
      <c r="C9" t="s">
        <v>45</v>
      </c>
      <c r="D9" s="3">
        <v>269</v>
      </c>
      <c r="E9" s="3">
        <v>145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.25"/>
  <cols>
    <col min="1" max="6" width="18" customWidth="1"/>
  </cols>
  <sheetData>
    <row r="1" spans="1:6" ht="15">
      <c r="A1" s="1" t="s">
        <v>180</v>
      </c>
      <c r="B1" s="1" t="s">
        <v>10</v>
      </c>
      <c r="C1" s="1" t="s">
        <v>12</v>
      </c>
      <c r="D1" s="1" t="s">
        <v>181</v>
      </c>
      <c r="E1" s="1" t="s">
        <v>182</v>
      </c>
      <c r="F1" s="1" t="s">
        <v>183</v>
      </c>
    </row>
    <row r="2" spans="1:6">
      <c r="A2" s="7">
        <v>46023</v>
      </c>
      <c r="B2" s="3">
        <f>SUMIFS(SalesData!$K$2:$K$121,SalesData!$B$2:$B$121,"&gt;="&amp;A2,SalesData!$B$2:$B$121,"&lt;"&amp;A3)</f>
        <v>25674.34</v>
      </c>
      <c r="C2" s="3">
        <f>SUMIFS(SalesData!$M$2:$M$121,SalesData!$B$2:$B$121,"&gt;="&amp;A2,SalesData!$B$2:$B$121,"&lt;"&amp;A3)</f>
        <v>11199.34</v>
      </c>
      <c r="D2">
        <f>COUNTIFS(SalesData!$B$2:$B$121,"&gt;="&amp;A2,SalesData!$B$2:$B$121,"&lt;"&amp;A3)</f>
        <v>17</v>
      </c>
      <c r="E2" s="3">
        <f t="shared" ref="E2:E8" si="0">IF(D2=0,0,B2/D2)</f>
        <v>1510.2552941176471</v>
      </c>
      <c r="F2">
        <f>COUNTIFS(SalesData!$B$2:$B$121,"&gt;="&amp;A2,SalesData!$B$2:$B$121,"&lt;"&amp;A3,SalesData!$P$2:$P$121,"Yes")</f>
        <v>1</v>
      </c>
    </row>
    <row r="3" spans="1:6">
      <c r="A3" s="7">
        <v>46054</v>
      </c>
      <c r="B3" s="3">
        <f>SUMIFS(SalesData!$K$2:$K$121,SalesData!$B$2:$B$121,"&gt;="&amp;A3,SalesData!$B$2:$B$121,"&lt;"&amp;A4)</f>
        <v>38158.579999999994</v>
      </c>
      <c r="C3" s="3">
        <f>SUMIFS(SalesData!$M$2:$M$121,SalesData!$B$2:$B$121,"&gt;="&amp;A3,SalesData!$B$2:$B$121,"&lt;"&amp;A4)</f>
        <v>16381.58</v>
      </c>
      <c r="D3">
        <f>COUNTIFS(SalesData!$B$2:$B$121,"&gt;="&amp;A3,SalesData!$B$2:$B$121,"&lt;"&amp;A4)</f>
        <v>16</v>
      </c>
      <c r="E3" s="3">
        <f t="shared" si="0"/>
        <v>2384.9112499999997</v>
      </c>
      <c r="F3">
        <f>COUNTIFS(SalesData!$B$2:$B$121,"&gt;="&amp;A3,SalesData!$B$2:$B$121,"&lt;"&amp;A4,SalesData!$P$2:$P$121,"Yes")</f>
        <v>1</v>
      </c>
    </row>
    <row r="4" spans="1:6">
      <c r="A4" s="7">
        <v>46082</v>
      </c>
      <c r="B4" s="3">
        <f>SUMIFS(SalesData!$K$2:$K$121,SalesData!$B$2:$B$121,"&gt;="&amp;A4,SalesData!$B$2:$B$121,"&lt;"&amp;A5)</f>
        <v>47245.48</v>
      </c>
      <c r="C4" s="3">
        <f>SUMIFS(SalesData!$M$2:$M$121,SalesData!$B$2:$B$121,"&gt;="&amp;A4,SalesData!$B$2:$B$121,"&lt;"&amp;A5)</f>
        <v>19579.48</v>
      </c>
      <c r="D4">
        <f>COUNTIFS(SalesData!$B$2:$B$121,"&gt;="&amp;A4,SalesData!$B$2:$B$121,"&lt;"&amp;A5)</f>
        <v>22</v>
      </c>
      <c r="E4" s="3">
        <f t="shared" si="0"/>
        <v>2147.5218181818182</v>
      </c>
      <c r="F4">
        <f>COUNTIFS(SalesData!$B$2:$B$121,"&gt;="&amp;A4,SalesData!$B$2:$B$121,"&lt;"&amp;A5,SalesData!$P$2:$P$121,"Yes")</f>
        <v>0</v>
      </c>
    </row>
    <row r="5" spans="1:6">
      <c r="A5" s="7">
        <v>46113</v>
      </c>
      <c r="B5" s="3">
        <f>SUMIFS(SalesData!$K$2:$K$121,SalesData!$B$2:$B$121,"&gt;="&amp;A5,SalesData!$B$2:$B$121,"&lt;"&amp;A6)</f>
        <v>36715.240000000005</v>
      </c>
      <c r="C5" s="3">
        <f>SUMIFS(SalesData!$M$2:$M$121,SalesData!$B$2:$B$121,"&gt;="&amp;A5,SalesData!$B$2:$B$121,"&lt;"&amp;A6)</f>
        <v>16572.240000000002</v>
      </c>
      <c r="D5">
        <f>COUNTIFS(SalesData!$B$2:$B$121,"&gt;="&amp;A5,SalesData!$B$2:$B$121,"&lt;"&amp;A6)</f>
        <v>21</v>
      </c>
      <c r="E5" s="3">
        <f t="shared" si="0"/>
        <v>1748.3447619047622</v>
      </c>
      <c r="F5">
        <f>COUNTIFS(SalesData!$B$2:$B$121,"&gt;="&amp;A5,SalesData!$B$2:$B$121,"&lt;"&amp;A6,SalesData!$P$2:$P$121,"Yes")</f>
        <v>1</v>
      </c>
    </row>
    <row r="6" spans="1:6">
      <c r="A6" s="7">
        <v>46143</v>
      </c>
      <c r="B6" s="3">
        <f>SUMIFS(SalesData!$K$2:$K$121,SalesData!$B$2:$B$121,"&gt;="&amp;A6,SalesData!$B$2:$B$121,"&lt;"&amp;A7)</f>
        <v>51838.98</v>
      </c>
      <c r="C6" s="3">
        <f>SUMIFS(SalesData!$M$2:$M$121,SalesData!$B$2:$B$121,"&gt;="&amp;A6,SalesData!$B$2:$B$121,"&lt;"&amp;A7)</f>
        <v>21174.980000000003</v>
      </c>
      <c r="D6">
        <f>COUNTIFS(SalesData!$B$2:$B$121,"&gt;="&amp;A6,SalesData!$B$2:$B$121,"&lt;"&amp;A7)</f>
        <v>21</v>
      </c>
      <c r="E6" s="3">
        <f t="shared" si="0"/>
        <v>2468.5228571428574</v>
      </c>
      <c r="F6">
        <f>COUNTIFS(SalesData!$B$2:$B$121,"&gt;="&amp;A6,SalesData!$B$2:$B$121,"&lt;"&amp;A7,SalesData!$P$2:$P$121,"Yes")</f>
        <v>2</v>
      </c>
    </row>
    <row r="7" spans="1:6">
      <c r="A7" s="7">
        <v>46174</v>
      </c>
      <c r="B7" s="3">
        <f>SUMIFS(SalesData!$K$2:$K$121,SalesData!$B$2:$B$121,"&gt;="&amp;A7,SalesData!$B$2:$B$121,"&lt;"&amp;DATE(2026,7,1))</f>
        <v>46031.15</v>
      </c>
      <c r="C7" s="3">
        <f>SUMIFS(SalesData!$M$2:$M$121,SalesData!$B$2:$B$121,"&gt;="&amp;A7,SalesData!$B$2:$B$121,"&lt;"&amp;DATE(2026,7,1))</f>
        <v>20181.149999999998</v>
      </c>
      <c r="D7">
        <f>COUNTIFS(SalesData!$B$2:$B$121,"&gt;="&amp;A7,SalesData!$B$2:$B$121,"&lt;"&amp;DATE(2026,7,1))</f>
        <v>23</v>
      </c>
      <c r="E7" s="3">
        <f t="shared" si="0"/>
        <v>2001.354347826087</v>
      </c>
      <c r="F7">
        <f>COUNTIFS(SalesData!$B$2:$B$121,"&gt;="&amp;A7,SalesData!$B$2:$B$121,"&lt;"&amp;DATE(2026,7,1),SalesData!$P$2:$P$121,"Yes")</f>
        <v>3</v>
      </c>
    </row>
    <row r="8" spans="1:6" ht="15">
      <c r="A8" s="6" t="s">
        <v>184</v>
      </c>
      <c r="B8" s="8">
        <f>SUM(B2:B7)</f>
        <v>245663.77000000002</v>
      </c>
      <c r="C8" s="8">
        <f>SUM(C2:C7)</f>
        <v>105088.76999999999</v>
      </c>
      <c r="D8" s="6">
        <f>SUM(D2:D7)</f>
        <v>120</v>
      </c>
      <c r="E8" s="8">
        <f t="shared" si="0"/>
        <v>2047.1980833333334</v>
      </c>
      <c r="F8" s="6">
        <f>SUM(F2:F7)</f>
        <v>8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SalesData</vt:lpstr>
      <vt:lpstr>Products</vt:lpstr>
      <vt:lpstr>MonthlySummary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</dc:creator>
  <cp:lastModifiedBy>mingteng guo</cp:lastModifiedBy>
  <dcterms:created xsi:type="dcterms:W3CDTF">2026-09-06T08:42:53Z</dcterms:created>
  <dcterms:modified xsi:type="dcterms:W3CDTF">2026-09-06T08:42:53Z</dcterms:modified>
</cp:coreProperties>
</file>