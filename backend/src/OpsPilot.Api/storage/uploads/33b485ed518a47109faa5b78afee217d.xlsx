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c4db281bd048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Data" sheetId="1" r:id="R13c50fada2fd40ec"/>
    <x:sheet xmlns:r="http://schemas.openxmlformats.org/officeDocument/2006/relationships" name="Products" sheetId="2" r:id="R436f9eb2b2e4406c"/>
    <x:sheet xmlns:r="http://schemas.openxmlformats.org/officeDocument/2006/relationships" name="MonthlySummary" sheetId="3" r:id="R496d5499c9df4a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¥#,##0.00"/>
    <x:numFmt numFmtId="202" formatCode="0%"/>
    <x:numFmt numFmtId="203" formatCode="yyyy-mm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2" fillId="3" borderId="0" xfId="0" applyNumberFormat="1" applyFont="1" applyFill="1" applyBorder="1"/>
    <x:xf numFmtId="201" fontId="2" fillId="3" borderId="1" xfId="0" applyNumberFormat="1" applyFont="1" applyFill="1" applyBorder="1"/>
  </x:cellXfs>
  <x:cellStyles count="1">
    <x:cellStyle name="Normal" xfId="0"/>
  </x:cellStyles>
  <x:dxfs count="1"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495f82583d40b2" /><Relationship Type="http://schemas.openxmlformats.org/officeDocument/2006/relationships/theme" Target="/xl/theme/theme1.xml" Id="R5b5847cf2acc4a53" /><Relationship Type="http://schemas.openxmlformats.org/officeDocument/2006/relationships/sharedStrings" Target="/xl/sharedStrings.xml" Id="R0d3ced7166a04307" /><Relationship Type="http://schemas.openxmlformats.org/officeDocument/2006/relationships/worksheet" Target="/xl/worksheets/sheet1.xml" Id="R13c50fada2fd40ec" /><Relationship Type="http://schemas.openxmlformats.org/officeDocument/2006/relationships/worksheet" Target="/xl/worksheets/sheet2.xml" Id="R436f9eb2b2e4406c" /><Relationship Type="http://schemas.openxmlformats.org/officeDocument/2006/relationships/worksheet" Target="/xl/worksheets/sheet3.xml" Id="R496d5499c9df4a6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5001a1ca2724c1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&amp; Profit</a:t>
            </a:r>
          </a:p>
        </c:rich>
      </c:tx>
    </c:title>
    <c:plotArea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'MonthlySummary'!$A$2:$A$7</c:f>
              <c:strCache>
                <c:ptCount val="0"/>
              </c:strCache>
            </c:strRef>
          </c:cat>
          <c:val>
            <c:numRef>
              <c:f>'MonthlySummary'!$B$2:$B$7</c:f>
              <c:numCache>
                <c:formatCode>¥#,##0.00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marker>
            <c:symbol val="none"/>
          </c:marker>
          <c:cat>
            <c:strRef>
              <c:f>'MonthlySummary'!$A$2:$A$7</c:f>
              <c:strCache>
                <c:ptCount val="0"/>
              </c:strCache>
            </c:strRef>
          </c:cat>
          <c:val>
            <c:numRef>
              <c:f>'MonthlySummary'!$C$2:$C$7</c:f>
              <c:numCache>
                <c:formatCode>¥#,##0.00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001a1ca2724c1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Table" displayName="SalesTable" ref="A1:Q121" headerRowCount="1" totalsRowCount="0" totalsRowShown="0">
  <x:tableColumns count="17">
    <x:tableColumn id="1" name="OrderID"/>
    <x:tableColumn id="2" name="OrderDate"/>
    <x:tableColumn id="3" name="Region"/>
    <x:tableColumn id="4" name="Salesperson"/>
    <x:tableColumn id="5" name="ProductID"/>
    <x:tableColumn id="6" name="ProductName"/>
    <x:tableColumn id="7" name="Category"/>
    <x:tableColumn id="8" name="UnitPrice"/>
    <x:tableColumn id="9" name="Quantity"/>
    <x:tableColumn id="10" name="DiscountRate"/>
    <x:tableColumn id="11" name="Revenue"/>
    <x:tableColumn id="12" name="UnitCost"/>
    <x:tableColumn id="13" name="Profit"/>
    <x:tableColumn id="14" name="CustomerType"/>
    <x:tableColumn id="15" name="Channel"/>
    <x:tableColumn id="16" name="Returned"/>
    <x:tableColumn id="1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sTable" displayName="ProductsTable" ref="A1:E9" headerRowCount="1" totalsRowCount="0" totalsRowShown="0">
  <x:tableColumns count="5">
    <x:tableColumn id="1" name="ProductID"/>
    <x:tableColumn id="2" name="ProductName"/>
    <x:tableColumn id="3" name="Category"/>
    <x:tableColumn id="4" name="ListPrice"/>
    <x:tableColumn id="5" name="UnitCo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8bd3b6e45b42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d5fbe2f2d245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09db6a3b6d424b2f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0" hidden="0" customWidth="1"/>
    <x:col min="4" max="4" width="13" hidden="0" customWidth="1"/>
    <x:col min="5" max="5" width="11" hidden="0" customWidth="1"/>
    <x:col min="6" max="6" width="20" hidden="0" customWidth="1"/>
    <x:col min="7" max="7" width="14" hidden="0" customWidth="1"/>
    <x:col min="8" max="8" width="12" hidden="0" customWidth="1"/>
    <x:col min="9" max="9" width="10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4" hidden="0" customWidth="1"/>
    <x:col min="15" max="15" width="15" hidden="0" customWidth="1"/>
    <x:col min="16" max="16" width="10" hidden="0" customWidth="1"/>
    <x:col min="17" max="17" width="24" hidden="0" customWidth="1"/>
  </x:cols>
  <x:sheetData>
    <x:row r="1">
      <x:c r="A1" s="5" t="str">
        <x:v>OrderID</x:v>
      </x:c>
      <x:c r="B1" s="5" t="str">
        <x:v>OrderDate</x:v>
      </x:c>
      <x:c r="C1" s="5" t="str">
        <x:v>Region</x:v>
      </x:c>
      <x:c r="D1" s="5" t="str">
        <x:v>Salesperson</x:v>
      </x:c>
      <x:c r="E1" s="5" t="str">
        <x:v>ProductID</x:v>
      </x:c>
      <x:c r="F1" s="5" t="str">
        <x:v>ProductName</x:v>
      </x:c>
      <x:c r="G1" s="5" t="str">
        <x:v>Category</x:v>
      </x:c>
      <x:c r="H1" s="5" t="str">
        <x:v>UnitPrice</x:v>
      </x:c>
      <x:c r="I1" s="5" t="str">
        <x:v>Quantity</x:v>
      </x:c>
      <x:c r="J1" s="5" t="str">
        <x:v>DiscountRate</x:v>
      </x:c>
      <x:c r="K1" s="5" t="str">
        <x:v>Revenue</x:v>
      </x:c>
      <x:c r="L1" s="5" t="str">
        <x:v>UnitCost</x:v>
      </x:c>
      <x:c r="M1" s="5" t="str">
        <x:v>Profit</x:v>
      </x:c>
      <x:c r="N1" s="5" t="str">
        <x:v>CustomerType</x:v>
      </x:c>
      <x:c r="O1" s="5" t="str">
        <x:v>Channel</x:v>
      </x:c>
      <x:c r="P1" s="5" t="str">
        <x:v>Returned</x:v>
      </x:c>
      <x:c r="Q1" s="5" t="str">
        <x:v>Notes</x:v>
      </x:c>
    </x:row>
    <x:row r="2">
      <x:c r="A2" t="str">
        <x:v>ORD-0001</x:v>
      </x:c>
      <x:c r="B2" s="10" t="n">
        <x:v>46029</x:v>
      </x:c>
      <x:c r="C2" t="str">
        <x:v>North</x:v>
      </x:c>
      <x:c r="D2" t="str">
        <x:v>Leo</x:v>
      </x:c>
      <x:c r="E2" t="str">
        <x:v>P002</x:v>
      </x:c>
      <x:c r="F2" t="str">
        <x:v>DeskHub 8-in-1</x:v>
      </x:c>
      <x:c r="G2" t="str">
        <x:v>Electronics</x:v>
      </x:c>
      <x:c r="H2" s="12" t="n">
        <x:v>219</x:v>
      </x:c>
      <x:c r="I2" t="n">
        <x:v>8</x:v>
      </x:c>
      <x:c r="J2" s="14" t="n">
        <x:v>0</x:v>
      </x:c>
      <x:c r="K2" s="12" t="n">
        <x:f>H2*I2*(1-J2)</x:f>
        <x:v>1752</x:v>
      </x:c>
      <x:c r="L2" s="12" t="n">
        <x:v>121</x:v>
      </x:c>
      <x:c r="M2" s="12" t="n">
        <x:f>K2-L2*I2</x:f>
        <x:v>784</x:v>
      </x:c>
      <x:c r="N2" t="str">
        <x:v>Enterprise</x:v>
      </x:c>
      <x:c r="O2" t="str">
        <x:v>Online</x:v>
      </x:c>
      <x:c r="P2" t="str">
        <x:v>No</x:v>
      </x:c>
      <x:c r="Q2" s="16" t="str"/>
    </x:row>
    <x:row r="3">
      <x:c r="A3" t="str">
        <x:v>ORD-0002</x:v>
      </x:c>
      <x:c r="B3" s="10" t="n">
        <x:v>46031</x:v>
      </x:c>
      <x:c r="C3" t="str">
        <x:v>East</x:v>
      </x:c>
      <x:c r="D3" t="str">
        <x:v>Alice</x:v>
      </x:c>
      <x:c r="E3" t="str">
        <x:v>P007</x:v>
      </x:c>
      <x:c r="F3" t="str">
        <x:v>CableKit Max</x:v>
      </x:c>
      <x:c r="G3" t="str">
        <x:v>Accessories</x:v>
      </x:c>
      <x:c r="H3" s="12" t="n">
        <x:v>79</x:v>
      </x:c>
      <x:c r="I3" t="n">
        <x:v>7</x:v>
      </x:c>
      <x:c r="J3" s="14" t="n">
        <x:v>0</x:v>
      </x:c>
      <x:c r="K3" s="12" t="n">
        <x:f>H3*I3*(1-J3)</x:f>
        <x:v>553</x:v>
      </x:c>
      <x:c r="L3" s="12" t="n">
        <x:v>28</x:v>
      </x:c>
      <x:c r="M3" s="12" t="n">
        <x:f>K3-L3*I3</x:f>
        <x:v>357</x:v>
      </x:c>
      <x:c r="N3" t="str">
        <x:v>New</x:v>
      </x:c>
      <x:c r="O3" t="str">
        <x:v>Distributor</x:v>
      </x:c>
      <x:c r="P3" t="str">
        <x:v>No</x:v>
      </x:c>
      <x:c r="Q3" s="16" t="str">
        <x:v>Priority customer</x:v>
      </x:c>
    </x:row>
    <x:row r="4">
      <x:c r="A4" t="str">
        <x:v>ORD-0003</x:v>
      </x:c>
      <x:c r="B4" s="10" t="n">
        <x:v>46079</x:v>
      </x:c>
      <x:c r="C4" t="str">
        <x:v>West</x:v>
      </x:c>
      <x:c r="D4" t="str">
        <x:v>Ryan</x:v>
      </x:c>
      <x:c r="E4" t="str">
        <x:v>P007</x:v>
      </x:c>
      <x:c r="F4" t="str">
        <x:v>CableKit Max</x:v>
      </x:c>
      <x:c r="G4" t="str">
        <x:v>Accessories</x:v>
      </x:c>
      <x:c r="H4" s="12" t="n">
        <x:v>79</x:v>
      </x:c>
      <x:c r="I4" t="n">
        <x:v>1</x:v>
      </x:c>
      <x:c r="J4" s="14" t="n">
        <x:v>0</x:v>
      </x:c>
      <x:c r="K4" s="12" t="n">
        <x:f>H4*I4*(1-J4)</x:f>
        <x:v>79</x:v>
      </x:c>
      <x:c r="L4" s="12" t="n">
        <x:v>28</x:v>
      </x:c>
      <x:c r="M4" s="12" t="n">
        <x:f>K4-L4*I4</x:f>
        <x:v>51</x:v>
      </x:c>
      <x:c r="N4" t="str">
        <x:v>New</x:v>
      </x:c>
      <x:c r="O4" t="str">
        <x:v>Online</x:v>
      </x:c>
      <x:c r="P4" t="str">
        <x:v>No</x:v>
      </x:c>
      <x:c r="Q4" s="16" t="str"/>
    </x:row>
    <x:row r="5">
      <x:c r="A5" t="str">
        <x:v>ORD-0004</x:v>
      </x:c>
      <x:c r="B5" s="10" t="n">
        <x:v>46049</x:v>
      </x:c>
      <x:c r="C5" t="str">
        <x:v>East</x:v>
      </x:c>
      <x:c r="D5" t="str">
        <x:v>Kevin</x:v>
      </x:c>
      <x:c r="E5" t="str">
        <x:v>P006</x:v>
      </x:c>
      <x:c r="F5" t="str">
        <x:v>TravelDock Lite</x:v>
      </x:c>
      <x:c r="G5" t="str">
        <x:v>Electronics</x:v>
      </x:c>
      <x:c r="H5" s="12" t="n">
        <x:v>129</x:v>
      </x:c>
      <x:c r="I5" t="n">
        <x:v>4</x:v>
      </x:c>
      <x:c r="J5" s="14" t="n">
        <x:v>0.05</x:v>
      </x:c>
      <x:c r="K5" s="12" t="n">
        <x:f>H5*I5*(1-J5)</x:f>
        <x:v>490.2</x:v>
      </x:c>
      <x:c r="L5" s="12" t="n">
        <x:v>67</x:v>
      </x:c>
      <x:c r="M5" s="12" t="n">
        <x:f>K5-L5*I5</x:f>
        <x:v>222.2</x:v>
      </x:c>
      <x:c r="N5" t="str">
        <x:v>New</x:v>
      </x:c>
      <x:c r="O5" t="str">
        <x:v>Distributor</x:v>
      </x:c>
      <x:c r="P5" t="str">
        <x:v>No</x:v>
      </x:c>
      <x:c r="Q5" s="16" t="str"/>
    </x:row>
    <x:row r="6">
      <x:c r="A6" t="str">
        <x:v>ORD-0005</x:v>
      </x:c>
      <x:c r="B6" s="10" t="n">
        <x:v>46160</x:v>
      </x:c>
      <x:c r="C6" t="str">
        <x:v>East</x:v>
      </x:c>
      <x:c r="D6" t="str">
        <x:v>Kevin</x:v>
      </x:c>
      <x:c r="E6" t="str">
        <x:v>P008</x:v>
      </x:c>
      <x:c r="F6" t="str">
        <x:v>MonitorArm X</x:v>
      </x:c>
      <x:c r="G6" t="str">
        <x:v>Office</x:v>
      </x:c>
      <x:c r="H6" s="12" t="n">
        <x:v>269</x:v>
      </x:c>
      <x:c r="I6" t="n">
        <x:v>3</x:v>
      </x:c>
      <x:c r="J6" s="14" t="n">
        <x:v>0.1</x:v>
      </x:c>
      <x:c r="K6" s="12" t="n">
        <x:f>H6*I6*(1-J6)</x:f>
        <x:v>726.3000000000001</x:v>
      </x:c>
      <x:c r="L6" s="12" t="n">
        <x:v>145</x:v>
      </x:c>
      <x:c r="M6" s="12" t="n">
        <x:f>K6-L6*I6</x:f>
        <x:v>291.30000000000007</x:v>
      </x:c>
      <x:c r="N6" t="str">
        <x:v>Existing</x:v>
      </x:c>
      <x:c r="O6" t="str">
        <x:v>Distributor</x:v>
      </x:c>
      <x:c r="P6" t="str">
        <x:v>No</x:v>
      </x:c>
      <x:c r="Q6" s="16" t="str"/>
    </x:row>
    <x:row r="7">
      <x:c r="A7" t="str">
        <x:v>ORD-0006</x:v>
      </x:c>
      <x:c r="B7" s="10" t="n">
        <x:v>46203</x:v>
      </x:c>
      <x:c r="C7" t="str">
        <x:v>East</x:v>
      </x:c>
      <x:c r="D7" t="str">
        <x:v>Alice</x:v>
      </x:c>
      <x:c r="E7" t="str">
        <x:v>P004</x:v>
      </x:c>
      <x:c r="F7" t="str">
        <x:v>CloudKeyboard Mini</x:v>
      </x:c>
      <x:c r="G7" t="str">
        <x:v>Electronics</x:v>
      </x:c>
      <x:c r="H7" s="12" t="n">
        <x:v>399</x:v>
      </x:c>
      <x:c r="I7" t="n">
        <x:v>8</x:v>
      </x:c>
      <x:c r="J7" s="14" t="n">
        <x:v>0.05</x:v>
      </x:c>
      <x:c r="K7" s="12" t="n">
        <x:f>H7*I7*(1-J7)</x:f>
        <x:v>3032.3999999999996</x:v>
      </x:c>
      <x:c r="L7" s="12" t="n">
        <x:v>230</x:v>
      </x:c>
      <x:c r="M7" s="12" t="n">
        <x:f>K7-L7*I7</x:f>
        <x:v>1192.3999999999996</x:v>
      </x:c>
      <x:c r="N7" t="str">
        <x:v>New</x:v>
      </x:c>
      <x:c r="O7" t="str">
        <x:v>Direct Sales</x:v>
      </x:c>
      <x:c r="P7" t="str">
        <x:v>No</x:v>
      </x:c>
      <x:c r="Q7" s="16" t="str"/>
    </x:row>
    <x:row r="8">
      <x:c r="A8" t="str">
        <x:v>ORD-0007</x:v>
      </x:c>
      <x:c r="B8" s="10" t="n">
        <x:v>46139</x:v>
      </x:c>
      <x:c r="C8" t="str">
        <x:v>North</x:v>
      </x:c>
      <x:c r="D8" t="str">
        <x:v>Leo</x:v>
      </x:c>
      <x:c r="E8" t="str">
        <x:v>P005</x:v>
      </x:c>
      <x:c r="F8" t="str">
        <x:v>FocusLamp</x:v>
      </x:c>
      <x:c r="G8" t="str">
        <x:v>Office</x:v>
      </x:c>
      <x:c r="H8" s="12" t="n">
        <x:v>189</x:v>
      </x:c>
      <x:c r="I8" t="n">
        <x:v>12</x:v>
      </x:c>
      <x:c r="J8" s="14" t="n">
        <x:v>0.05</x:v>
      </x:c>
      <x:c r="K8" s="12" t="n">
        <x:f>H8*I8*(1-J8)</x:f>
        <x:v>2154.6</x:v>
      </x:c>
      <x:c r="L8" s="12" t="n">
        <x:v>91</x:v>
      </x:c>
      <x:c r="M8" s="12" t="n">
        <x:f>K8-L8*I8</x:f>
        <x:v>1062.6</x:v>
      </x:c>
      <x:c r="N8" t="str">
        <x:v>Enterprise</x:v>
      </x:c>
      <x:c r="O8" t="str">
        <x:v>Distributor</x:v>
      </x:c>
      <x:c r="P8" t="str">
        <x:v>No</x:v>
      </x:c>
      <x:c r="Q8" s="16" t="str"/>
    </x:row>
    <x:row r="9">
      <x:c r="A9" t="str">
        <x:v>ORD-0008</x:v>
      </x:c>
      <x:c r="B9" s="10" t="n">
        <x:v>46178</x:v>
      </x:c>
      <x:c r="C9" t="str">
        <x:v>South</x:v>
      </x:c>
      <x:c r="D9" t="str">
        <x:v>Mia</x:v>
      </x:c>
      <x:c r="E9" t="str">
        <x:v>P002</x:v>
      </x:c>
      <x:c r="F9" t="str">
        <x:v>DeskHub 8-in-1</x:v>
      </x:c>
      <x:c r="G9" t="str">
        <x:v>Electronics</x:v>
      </x:c>
      <x:c r="H9" s="12" t="n">
        <x:v>219</x:v>
      </x:c>
      <x:c r="I9" t="n">
        <x:v>6</x:v>
      </x:c>
      <x:c r="J9" s="14" t="n">
        <x:v>0.08</x:v>
      </x:c>
      <x:c r="K9" s="12" t="n">
        <x:f>H9*I9*(1-J9)</x:f>
        <x:v>1208.88</x:v>
      </x:c>
      <x:c r="L9" s="12" t="n">
        <x:v>121</x:v>
      </x:c>
      <x:c r="M9" s="12" t="n">
        <x:f>K9-L9*I9</x:f>
        <x:v>482.8800000000001</x:v>
      </x:c>
      <x:c r="N9" t="str">
        <x:v>Enterprise</x:v>
      </x:c>
      <x:c r="O9" t="str">
        <x:v>Distributor</x:v>
      </x:c>
      <x:c r="P9" t="str">
        <x:v>No</x:v>
      </x:c>
      <x:c r="Q9" s="16" t="str"/>
    </x:row>
    <x:row r="10">
      <x:c r="A10" t="str">
        <x:v>ORD-0009</x:v>
      </x:c>
      <x:c r="B10" s="10" t="n">
        <x:v>46198</x:v>
      </x:c>
      <x:c r="C10" t="str">
        <x:v>North</x:v>
      </x:c>
      <x:c r="D10" t="str">
        <x:v>Leo</x:v>
      </x:c>
      <x:c r="E10" t="str">
        <x:v>P004</x:v>
      </x:c>
      <x:c r="F10" t="str">
        <x:v>CloudKeyboard Mini</x:v>
      </x:c>
      <x:c r="G10" t="str">
        <x:v>Electronics</x:v>
      </x:c>
      <x:c r="H10" s="12" t="n">
        <x:v>399</x:v>
      </x:c>
      <x:c r="I10" t="n">
        <x:v>8</x:v>
      </x:c>
      <x:c r="J10" s="14" t="n">
        <x:v>0</x:v>
      </x:c>
      <x:c r="K10" s="12" t="n">
        <x:f>H10*I10*(1-J10)</x:f>
        <x:v>3192</x:v>
      </x:c>
      <x:c r="L10" s="12" t="n">
        <x:v>230</x:v>
      </x:c>
      <x:c r="M10" s="12" t="n">
        <x:f>K10-L10*I10</x:f>
        <x:v>1352</x:v>
      </x:c>
      <x:c r="N10" t="str">
        <x:v>New</x:v>
      </x:c>
      <x:c r="O10" t="str">
        <x:v>Online</x:v>
      </x:c>
      <x:c r="P10" t="str">
        <x:v>No</x:v>
      </x:c>
      <x:c r="Q10" s="16" t="str"/>
    </x:row>
    <x:row r="11">
      <x:c r="A11" t="str">
        <x:v>ORD-0010</x:v>
      </x:c>
      <x:c r="B11" s="10" t="n">
        <x:v>46077</x:v>
      </x:c>
      <x:c r="C11" t="str">
        <x:v>West</x:v>
      </x:c>
      <x:c r="D11" t="str">
        <x:v>Ryan</x:v>
      </x:c>
      <x:c r="E11" t="str">
        <x:v>P006</x:v>
      </x:c>
      <x:c r="F11" t="str">
        <x:v>TravelDock Lite</x:v>
      </x:c>
      <x:c r="G11" t="str">
        <x:v>Electronics</x:v>
      </x:c>
      <x:c r="H11" s="12" t="n">
        <x:v>129</x:v>
      </x:c>
      <x:c r="I11" t="n">
        <x:v>15</x:v>
      </x:c>
      <x:c r="J11" s="14" t="n">
        <x:v>0</x:v>
      </x:c>
      <x:c r="K11" s="12" t="n">
        <x:f>H11*I11*(1-J11)</x:f>
        <x:v>1935</x:v>
      </x:c>
      <x:c r="L11" s="12" t="n">
        <x:v>67</x:v>
      </x:c>
      <x:c r="M11" s="12" t="n">
        <x:f>K11-L11*I11</x:f>
        <x:v>930</x:v>
      </x:c>
      <x:c r="N11" t="str">
        <x:v>Enterprise</x:v>
      </x:c>
      <x:c r="O11" t="str">
        <x:v>Distributor</x:v>
      </x:c>
      <x:c r="P11" t="str">
        <x:v>No</x:v>
      </x:c>
      <x:c r="Q11" s="16" t="str"/>
    </x:row>
    <x:row r="12">
      <x:c r="A12" t="str">
        <x:v>ORD-0011</x:v>
      </x:c>
      <x:c r="B12" s="10" t="n">
        <x:v>46172</x:v>
      </x:c>
      <x:c r="C12" t="str">
        <x:v>West</x:v>
      </x:c>
      <x:c r="D12" t="str">
        <x:v>Ryan</x:v>
      </x:c>
      <x:c r="E12" t="str">
        <x:v>P005</x:v>
      </x:c>
      <x:c r="F12" t="str">
        <x:v>FocusLamp</x:v>
      </x:c>
      <x:c r="G12" t="str">
        <x:v>Office</x:v>
      </x:c>
      <x:c r="H12" s="12" t="n">
        <x:v>189</x:v>
      </x:c>
      <x:c r="I12" t="n">
        <x:v>12</x:v>
      </x:c>
      <x:c r="J12" s="14" t="n">
        <x:v>0</x:v>
      </x:c>
      <x:c r="K12" s="12" t="n">
        <x:f>H12*I12*(1-J12)</x:f>
        <x:v>2268</x:v>
      </x:c>
      <x:c r="L12" s="12" t="n">
        <x:v>91</x:v>
      </x:c>
      <x:c r="M12" s="12" t="n">
        <x:f>K12-L12*I12</x:f>
        <x:v>1176</x:v>
      </x:c>
      <x:c r="N12" t="str">
        <x:v>Existing</x:v>
      </x:c>
      <x:c r="O12" t="str">
        <x:v>Online</x:v>
      </x:c>
      <x:c r="P12" t="str">
        <x:v>No</x:v>
      </x:c>
      <x:c r="Q12" s="16" t="str"/>
    </x:row>
    <x:row r="13">
      <x:c r="A13" t="str">
        <x:v>ORD-0012</x:v>
      </x:c>
      <x:c r="B13" s="10" t="n">
        <x:v>46051</x:v>
      </x:c>
      <x:c r="C13" t="str">
        <x:v>South</x:v>
      </x:c>
      <x:c r="D13" t="str">
        <x:v>Mia</x:v>
      </x:c>
      <x:c r="E13" t="str">
        <x:v>P001</x:v>
      </x:c>
      <x:c r="F13" t="str">
        <x:v>AirMouse Pro</x:v>
      </x:c>
      <x:c r="G13" t="str">
        <x:v>Electronics</x:v>
      </x:c>
      <x:c r="H13" s="12" t="n">
        <x:v>299</x:v>
      </x:c>
      <x:c r="I13" t="n">
        <x:v>14</x:v>
      </x:c>
      <x:c r="J13" s="14" t="n">
        <x:v>0.1</x:v>
      </x:c>
      <x:c r="K13" s="12" t="n">
        <x:f>H13*I13*(1-J13)</x:f>
        <x:v>3767.4</x:v>
      </x:c>
      <x:c r="L13" s="12" t="n">
        <x:v>168</x:v>
      </x:c>
      <x:c r="M13" s="12" t="n">
        <x:f>K13-L13*I13</x:f>
        <x:v>1415.4</x:v>
      </x:c>
      <x:c r="N13" t="str">
        <x:v>Enterprise</x:v>
      </x:c>
      <x:c r="O13" t="str">
        <x:v>Direct Sales</x:v>
      </x:c>
      <x:c r="P13" t="str">
        <x:v>Yes</x:v>
      </x:c>
      <x:c r="Q13" s="16" t="str">
        <x:v>Customer changed mind</x:v>
      </x:c>
    </x:row>
    <x:row r="14">
      <x:c r="A14" t="str">
        <x:v>ORD-0013</x:v>
      </x:c>
      <x:c r="B14" s="10" t="n">
        <x:v>46164</x:v>
      </x:c>
      <x:c r="C14" t="str">
        <x:v>East</x:v>
      </x:c>
      <x:c r="D14" t="str">
        <x:v>Alice</x:v>
      </x:c>
      <x:c r="E14" t="str">
        <x:v>P005</x:v>
      </x:c>
      <x:c r="F14" t="str">
        <x:v>FocusLamp</x:v>
      </x:c>
      <x:c r="G14" t="str">
        <x:v>Office</x:v>
      </x:c>
      <x:c r="H14" s="12" t="n">
        <x:v>189</x:v>
      </x:c>
      <x:c r="I14" t="n">
        <x:v>18</x:v>
      </x:c>
      <x:c r="J14" s="14" t="n">
        <x:v>0.05</x:v>
      </x:c>
      <x:c r="K14" s="12" t="n">
        <x:f>H14*I14*(1-J14)</x:f>
        <x:v>3231.8999999999996</x:v>
      </x:c>
      <x:c r="L14" s="12" t="n">
        <x:v>91</x:v>
      </x:c>
      <x:c r="M14" s="12" t="n">
        <x:f>K14-L14*I14</x:f>
        <x:v>1593.8999999999996</x:v>
      </x:c>
      <x:c r="N14" t="str">
        <x:v>Existing</x:v>
      </x:c>
      <x:c r="O14" t="str">
        <x:v>Direct Sales</x:v>
      </x:c>
      <x:c r="P14" t="str">
        <x:v>No</x:v>
      </x:c>
      <x:c r="Q14" s="16" t="str"/>
    </x:row>
    <x:row r="15">
      <x:c r="A15" t="str">
        <x:v>ORD-0014</x:v>
      </x:c>
      <x:c r="B15" s="10" t="n">
        <x:v>46139</x:v>
      </x:c>
      <x:c r="C15" t="str">
        <x:v>East</x:v>
      </x:c>
      <x:c r="D15" t="str">
        <x:v>Kevin</x:v>
      </x:c>
      <x:c r="E15" t="str">
        <x:v>P003</x:v>
      </x:c>
      <x:c r="F15" t="str">
        <x:v>ErgoStand S2</x:v>
      </x:c>
      <x:c r="G15" t="str">
        <x:v>Office</x:v>
      </x:c>
      <x:c r="H15" s="12" t="n">
        <x:v>159</x:v>
      </x:c>
      <x:c r="I15" t="n">
        <x:v>17</x:v>
      </x:c>
      <x:c r="J15" s="14" t="n">
        <x:v>0</x:v>
      </x:c>
      <x:c r="K15" s="12" t="n">
        <x:f>H15*I15*(1-J15)</x:f>
        <x:v>2703</x:v>
      </x:c>
      <x:c r="L15" s="12" t="n">
        <x:v>78</x:v>
      </x:c>
      <x:c r="M15" s="12" t="n">
        <x:f>K15-L15*I15</x:f>
        <x:v>1377</x:v>
      </x:c>
      <x:c r="N15" t="str">
        <x:v>Enterprise</x:v>
      </x:c>
      <x:c r="O15" t="str">
        <x:v>Direct Sales</x:v>
      </x:c>
      <x:c r="P15" t="str">
        <x:v>No</x:v>
      </x:c>
      <x:c r="Q15" s="16" t="str"/>
    </x:row>
    <x:row r="16">
      <x:c r="A16" t="str">
        <x:v>ORD-0015</x:v>
      </x:c>
      <x:c r="B16" s="10" t="n">
        <x:v>46062</x:v>
      </x:c>
      <x:c r="C16" t="str">
        <x:v>North</x:v>
      </x:c>
      <x:c r="D16" t="str">
        <x:v>Leo</x:v>
      </x:c>
      <x:c r="E16" t="str">
        <x:v>P004</x:v>
      </x:c>
      <x:c r="F16" t="str">
        <x:v>CloudKeyboard Mini</x:v>
      </x:c>
      <x:c r="G16" t="str">
        <x:v>Electronics</x:v>
      </x:c>
      <x:c r="H16" s="12" t="n">
        <x:v>399</x:v>
      </x:c>
      <x:c r="I16" t="n">
        <x:v>18</x:v>
      </x:c>
      <x:c r="J16" s="14" t="n">
        <x:v>0.1</x:v>
      </x:c>
      <x:c r="K16" s="12" t="n">
        <x:f>H16*I16*(1-J16)</x:f>
        <x:v>6463.8</x:v>
      </x:c>
      <x:c r="L16" s="12" t="n">
        <x:v>230</x:v>
      </x:c>
      <x:c r="M16" s="12" t="n">
        <x:f>K16-L16*I16</x:f>
        <x:v>2323.8</x:v>
      </x:c>
      <x:c r="N16" t="str">
        <x:v>Existing</x:v>
      </x:c>
      <x:c r="O16" t="str">
        <x:v>Online</x:v>
      </x:c>
      <x:c r="P16" t="str">
        <x:v>No</x:v>
      </x:c>
      <x:c r="Q16" s="16" t="str"/>
    </x:row>
    <x:row r="17">
      <x:c r="A17" t="str">
        <x:v>ORD-0016</x:v>
      </x:c>
      <x:c r="B17" s="10" t="n">
        <x:v>46115</x:v>
      </x:c>
      <x:c r="C17" t="str">
        <x:v>North</x:v>
      </x:c>
      <x:c r="D17" t="str">
        <x:v>Leo</x:v>
      </x:c>
      <x:c r="E17" t="str">
        <x:v>P002</x:v>
      </x:c>
      <x:c r="F17" t="str">
        <x:v>DeskHub 8-in-1</x:v>
      </x:c>
      <x:c r="G17" t="str">
        <x:v>Electronics</x:v>
      </x:c>
      <x:c r="H17" s="12" t="n">
        <x:v>219</x:v>
      </x:c>
      <x:c r="I17" t="n">
        <x:v>2</x:v>
      </x:c>
      <x:c r="J17" s="14" t="n">
        <x:v>0</x:v>
      </x:c>
      <x:c r="K17" s="12" t="n">
        <x:f>H17*I17*(1-J17)</x:f>
        <x:v>438</x:v>
      </x:c>
      <x:c r="L17" s="12" t="n">
        <x:v>121</x:v>
      </x:c>
      <x:c r="M17" s="12" t="n">
        <x:f>K17-L17*I17</x:f>
        <x:v>196</x:v>
      </x:c>
      <x:c r="N17" t="str">
        <x:v>New</x:v>
      </x:c>
      <x:c r="O17" t="str">
        <x:v>Distributor</x:v>
      </x:c>
      <x:c r="P17" t="str">
        <x:v>No</x:v>
      </x:c>
      <x:c r="Q17" s="16" t="str"/>
    </x:row>
    <x:row r="18">
      <x:c r="A18" t="str">
        <x:v>ORD-0017</x:v>
      </x:c>
      <x:c r="B18" s="10" t="n">
        <x:v>46040</x:v>
      </x:c>
      <x:c r="C18" t="str">
        <x:v>South</x:v>
      </x:c>
      <x:c r="D18" t="str">
        <x:v>Mia</x:v>
      </x:c>
      <x:c r="E18" t="str">
        <x:v>P008</x:v>
      </x:c>
      <x:c r="F18" t="str">
        <x:v>MonitorArm X</x:v>
      </x:c>
      <x:c r="G18" t="str">
        <x:v>Office</x:v>
      </x:c>
      <x:c r="H18" s="12" t="n">
        <x:v>269</x:v>
      </x:c>
      <x:c r="I18" t="n">
        <x:v>16</x:v>
      </x:c>
      <x:c r="J18" s="14" t="n">
        <x:v>0.1</x:v>
      </x:c>
      <x:c r="K18" s="12" t="n">
        <x:f>H18*I18*(1-J18)</x:f>
        <x:v>3873.6</x:v>
      </x:c>
      <x:c r="L18" s="12" t="n">
        <x:v>145</x:v>
      </x:c>
      <x:c r="M18" s="12" t="n">
        <x:f>K18-L18*I18</x:f>
        <x:v>1553.6</x:v>
      </x:c>
      <x:c r="N18" t="str">
        <x:v>Enterprise</x:v>
      </x:c>
      <x:c r="O18" t="str">
        <x:v>Direct Sales</x:v>
      </x:c>
      <x:c r="P18" t="str">
        <x:v>No</x:v>
      </x:c>
      <x:c r="Q18" s="16" t="str"/>
    </x:row>
    <x:row r="19">
      <x:c r="A19" t="str">
        <x:v>ORD-0018</x:v>
      </x:c>
      <x:c r="B19" s="10" t="n">
        <x:v>46161</x:v>
      </x:c>
      <x:c r="C19" t="str">
        <x:v>South</x:v>
      </x:c>
      <x:c r="D19" t="str">
        <x:v>Jason</x:v>
      </x:c>
      <x:c r="E19" t="str">
        <x:v>P004</x:v>
      </x:c>
      <x:c r="F19" t="str">
        <x:v>CloudKeyboard Mini</x:v>
      </x:c>
      <x:c r="G19" t="str">
        <x:v>Electronics</x:v>
      </x:c>
      <x:c r="H19" s="12" t="n">
        <x:v>399</x:v>
      </x:c>
      <x:c r="I19" t="n">
        <x:v>13</x:v>
      </x:c>
      <x:c r="J19" s="14" t="n">
        <x:v>0.15</x:v>
      </x:c>
      <x:c r="K19" s="12" t="n">
        <x:f>H19*I19*(1-J19)</x:f>
        <x:v>4408.95</x:v>
      </x:c>
      <x:c r="L19" s="12" t="n">
        <x:v>230</x:v>
      </x:c>
      <x:c r="M19" s="12" t="n">
        <x:f>K19-L19*I19</x:f>
        <x:v>1418.9499999999998</x:v>
      </x:c>
      <x:c r="N19" t="str">
        <x:v>Enterprise</x:v>
      </x:c>
      <x:c r="O19" t="str">
        <x:v>Direct Sales</x:v>
      </x:c>
      <x:c r="P19" t="str">
        <x:v>No</x:v>
      </x:c>
      <x:c r="Q19" s="16" t="str"/>
    </x:row>
    <x:row r="20">
      <x:c r="A20" t="str">
        <x:v>ORD-0019</x:v>
      </x:c>
      <x:c r="B20" s="10" t="n">
        <x:v>46086</x:v>
      </x:c>
      <x:c r="C20" t="str">
        <x:v>South</x:v>
      </x:c>
      <x:c r="D20" t="str">
        <x:v>Mia</x:v>
      </x:c>
      <x:c r="E20" t="str">
        <x:v>P002</x:v>
      </x:c>
      <x:c r="F20" t="str">
        <x:v>DeskHub 8-in-1</x:v>
      </x:c>
      <x:c r="G20" t="str">
        <x:v>Electronics</x:v>
      </x:c>
      <x:c r="H20" s="12" t="n">
        <x:v>219</x:v>
      </x:c>
      <x:c r="I20" t="n">
        <x:v>11</x:v>
      </x:c>
      <x:c r="J20" s="14" t="n">
        <x:v>0</x:v>
      </x:c>
      <x:c r="K20" s="12" t="n">
        <x:f>H20*I20*(1-J20)</x:f>
        <x:v>2409</x:v>
      </x:c>
      <x:c r="L20" s="12" t="n">
        <x:v>121</x:v>
      </x:c>
      <x:c r="M20" s="12" t="n">
        <x:f>K20-L20*I20</x:f>
        <x:v>1078</x:v>
      </x:c>
      <x:c r="N20" t="str">
        <x:v>New</x:v>
      </x:c>
      <x:c r="O20" t="str">
        <x:v>Online</x:v>
      </x:c>
      <x:c r="P20" t="str">
        <x:v>No</x:v>
      </x:c>
      <x:c r="Q20" s="16" t="str"/>
    </x:row>
    <x:row r="21">
      <x:c r="A21" t="str">
        <x:v>ORD-0020</x:v>
      </x:c>
      <x:c r="B21" s="10" t="n">
        <x:v>46184</x:v>
      </x:c>
      <x:c r="C21" t="str">
        <x:v>East</x:v>
      </x:c>
      <x:c r="D21" t="str">
        <x:v>Alice</x:v>
      </x:c>
      <x:c r="E21" t="str">
        <x:v>P002</x:v>
      </x:c>
      <x:c r="F21" t="str">
        <x:v>DeskHub 8-in-1</x:v>
      </x:c>
      <x:c r="G21" t="str">
        <x:v>Electronics</x:v>
      </x:c>
      <x:c r="H21" s="12" t="n">
        <x:v>219</x:v>
      </x:c>
      <x:c r="I21" t="n">
        <x:v>3</x:v>
      </x:c>
      <x:c r="J21" s="14" t="n">
        <x:v>0</x:v>
      </x:c>
      <x:c r="K21" s="12" t="n">
        <x:f>H21*I21*(1-J21)</x:f>
        <x:v>657</x:v>
      </x:c>
      <x:c r="L21" s="12" t="n">
        <x:v>121</x:v>
      </x:c>
      <x:c r="M21" s="12" t="n">
        <x:f>K21-L21*I21</x:f>
        <x:v>294</x:v>
      </x:c>
      <x:c r="N21" t="str">
        <x:v>New</x:v>
      </x:c>
      <x:c r="O21" t="str">
        <x:v>Direct Sales</x:v>
      </x:c>
      <x:c r="P21" t="str">
        <x:v>No</x:v>
      </x:c>
      <x:c r="Q21" s="16" t="str"/>
    </x:row>
    <x:row r="22">
      <x:c r="A22" t="str">
        <x:v>ORD-0021</x:v>
      </x:c>
      <x:c r="B22" s="10" t="n">
        <x:v>46077</x:v>
      </x:c>
      <x:c r="C22" t="str">
        <x:v>South</x:v>
      </x:c>
      <x:c r="D22" t="str">
        <x:v>Jason</x:v>
      </x:c>
      <x:c r="E22" t="str">
        <x:v>P008</x:v>
      </x:c>
      <x:c r="F22" t="str">
        <x:v>MonitorArm X</x:v>
      </x:c>
      <x:c r="G22" t="str">
        <x:v>Office</x:v>
      </x:c>
      <x:c r="H22" s="12" t="n">
        <x:v>269</x:v>
      </x:c>
      <x:c r="I22" t="n">
        <x:v>8</x:v>
      </x:c>
      <x:c r="J22" s="14" t="n">
        <x:v>0.08</x:v>
      </x:c>
      <x:c r="K22" s="12" t="n">
        <x:f>H22*I22*(1-J22)</x:f>
        <x:v>1979.8400000000001</x:v>
      </x:c>
      <x:c r="L22" s="12" t="n">
        <x:v>145</x:v>
      </x:c>
      <x:c r="M22" s="12" t="n">
        <x:f>K22-L22*I22</x:f>
        <x:v>819.8400000000001</x:v>
      </x:c>
      <x:c r="N22" t="str">
        <x:v>New</x:v>
      </x:c>
      <x:c r="O22" t="str">
        <x:v>Distributor</x:v>
      </x:c>
      <x:c r="P22" t="str">
        <x:v>No</x:v>
      </x:c>
      <x:c r="Q22" s="16" t="str"/>
    </x:row>
    <x:row r="23">
      <x:c r="A23" t="str">
        <x:v>ORD-0022</x:v>
      </x:c>
      <x:c r="B23" s="10" t="n">
        <x:v>46113</x:v>
      </x:c>
      <x:c r="C23" t="str">
        <x:v>West</x:v>
      </x:c>
      <x:c r="D23" t="str">
        <x:v>Ryan</x:v>
      </x:c>
      <x:c r="E23" t="str">
        <x:v>P007</x:v>
      </x:c>
      <x:c r="F23" t="str">
        <x:v>CableKit Max</x:v>
      </x:c>
      <x:c r="G23" t="str">
        <x:v>Accessories</x:v>
      </x:c>
      <x:c r="H23" s="12" t="n">
        <x:v>79</x:v>
      </x:c>
      <x:c r="I23" t="n">
        <x:v>15</x:v>
      </x:c>
      <x:c r="J23" s="14" t="n">
        <x:v>0.15</x:v>
      </x:c>
      <x:c r="K23" s="12" t="n">
        <x:f>H23*I23*(1-J23)</x:f>
        <x:v>1007.25</x:v>
      </x:c>
      <x:c r="L23" s="12" t="n">
        <x:v>28</x:v>
      </x:c>
      <x:c r="M23" s="12" t="n">
        <x:f>K23-L23*I23</x:f>
        <x:v>587.25</x:v>
      </x:c>
      <x:c r="N23" t="str">
        <x:v>Enterprise</x:v>
      </x:c>
      <x:c r="O23" t="str">
        <x:v>Online</x:v>
      </x:c>
      <x:c r="P23" t="str">
        <x:v>Yes</x:v>
      </x:c>
      <x:c r="Q23" s="16" t="str">
        <x:v>Wrong model ordered</x:v>
      </x:c>
    </x:row>
    <x:row r="24">
      <x:c r="A24" t="str">
        <x:v>ORD-0023</x:v>
      </x:c>
      <x:c r="B24" s="10" t="n">
        <x:v>46126</x:v>
      </x:c>
      <x:c r="C24" t="str">
        <x:v>North</x:v>
      </x:c>
      <x:c r="D24" t="str">
        <x:v>Leo</x:v>
      </x:c>
      <x:c r="E24" t="str">
        <x:v>P001</x:v>
      </x:c>
      <x:c r="F24" t="str">
        <x:v>AirMouse Pro</x:v>
      </x:c>
      <x:c r="G24" t="str">
        <x:v>Electronics</x:v>
      </x:c>
      <x:c r="H24" s="12" t="n">
        <x:v>299</x:v>
      </x:c>
      <x:c r="I24" t="n">
        <x:v>8</x:v>
      </x:c>
      <x:c r="J24" s="14" t="n">
        <x:v>0</x:v>
      </x:c>
      <x:c r="K24" s="12" t="n">
        <x:f>H24*I24*(1-J24)</x:f>
        <x:v>2392</x:v>
      </x:c>
      <x:c r="L24" s="12" t="n">
        <x:v>168</x:v>
      </x:c>
      <x:c r="M24" s="12" t="n">
        <x:f>K24-L24*I24</x:f>
        <x:v>1048</x:v>
      </x:c>
      <x:c r="N24" t="str">
        <x:v>Existing</x:v>
      </x:c>
      <x:c r="O24" t="str">
        <x:v>Online</x:v>
      </x:c>
      <x:c r="P24" t="str">
        <x:v>No</x:v>
      </x:c>
      <x:c r="Q24" s="16" t="str"/>
    </x:row>
    <x:row r="25">
      <x:c r="A25" t="str">
        <x:v>ORD-0024</x:v>
      </x:c>
      <x:c r="B25" s="10" t="n">
        <x:v>46141</x:v>
      </x:c>
      <x:c r="C25" t="str">
        <x:v>South</x:v>
      </x:c>
      <x:c r="D25" t="str">
        <x:v>Mia</x:v>
      </x:c>
      <x:c r="E25" t="str">
        <x:v>P005</x:v>
      </x:c>
      <x:c r="F25" t="str">
        <x:v>FocusLamp</x:v>
      </x:c>
      <x:c r="G25" t="str">
        <x:v>Office</x:v>
      </x:c>
      <x:c r="H25" s="12" t="n">
        <x:v>189</x:v>
      </x:c>
      <x:c r="I25" t="n">
        <x:v>15</x:v>
      </x:c>
      <x:c r="J25" s="14" t="n">
        <x:v>0.1</x:v>
      </x:c>
      <x:c r="K25" s="12" t="n">
        <x:f>H25*I25*(1-J25)</x:f>
        <x:v>2551.5</x:v>
      </x:c>
      <x:c r="L25" s="12" t="n">
        <x:v>91</x:v>
      </x:c>
      <x:c r="M25" s="12" t="n">
        <x:f>K25-L25*I25</x:f>
        <x:v>1186.5</x:v>
      </x:c>
      <x:c r="N25" t="str">
        <x:v>Enterprise</x:v>
      </x:c>
      <x:c r="O25" t="str">
        <x:v>Online</x:v>
      </x:c>
      <x:c r="P25" t="str">
        <x:v>No</x:v>
      </x:c>
      <x:c r="Q25" s="16" t="str"/>
    </x:row>
    <x:row r="26">
      <x:c r="A26" t="str">
        <x:v>ORD-0025</x:v>
      </x:c>
      <x:c r="B26" s="10" t="n">
        <x:v>46083</x:v>
      </x:c>
      <x:c r="C26" t="str">
        <x:v>South</x:v>
      </x:c>
      <x:c r="D26" t="str">
        <x:v>Jason</x:v>
      </x:c>
      <x:c r="E26" t="str">
        <x:v>P002</x:v>
      </x:c>
      <x:c r="F26" t="str">
        <x:v>DeskHub 8-in-1</x:v>
      </x:c>
      <x:c r="G26" t="str">
        <x:v>Electronics</x:v>
      </x:c>
      <x:c r="H26" s="12" t="n">
        <x:v>219</x:v>
      </x:c>
      <x:c r="I26" t="n">
        <x:v>16</x:v>
      </x:c>
      <x:c r="J26" s="14" t="n">
        <x:v>0.08</x:v>
      </x:c>
      <x:c r="K26" s="12" t="n">
        <x:f>H26*I26*(1-J26)</x:f>
        <x:v>3223.6800000000003</x:v>
      </x:c>
      <x:c r="L26" s="12" t="n">
        <x:v>121</x:v>
      </x:c>
      <x:c r="M26" s="12" t="n">
        <x:f>K26-L26*I26</x:f>
        <x:v>1287.6800000000003</x:v>
      </x:c>
      <x:c r="N26" t="str">
        <x:v>New</x:v>
      </x:c>
      <x:c r="O26" t="str">
        <x:v>Online</x:v>
      </x:c>
      <x:c r="P26" t="str">
        <x:v>No</x:v>
      </x:c>
      <x:c r="Q26" s="16" t="str"/>
    </x:row>
    <x:row r="27">
      <x:c r="A27" t="str">
        <x:v>ORD-0026</x:v>
      </x:c>
      <x:c r="B27" s="10" t="n">
        <x:v>46023</x:v>
      </x:c>
      <x:c r="C27" t="str">
        <x:v>West</x:v>
      </x:c>
      <x:c r="D27" t="str">
        <x:v>Ryan</x:v>
      </x:c>
      <x:c r="E27" t="str">
        <x:v>P007</x:v>
      </x:c>
      <x:c r="F27" t="str">
        <x:v>CableKit Max</x:v>
      </x:c>
      <x:c r="G27" t="str">
        <x:v>Accessories</x:v>
      </x:c>
      <x:c r="H27" s="12" t="n">
        <x:v>79</x:v>
      </x:c>
      <x:c r="I27" t="n">
        <x:v>15</x:v>
      </x:c>
      <x:c r="J27" s="14" t="n">
        <x:v>0.05</x:v>
      </x:c>
      <x:c r="K27" s="12" t="n">
        <x:f>H27*I27*(1-J27)</x:f>
        <x:v>1125.75</x:v>
      </x:c>
      <x:c r="L27" s="12" t="n">
        <x:v>28</x:v>
      </x:c>
      <x:c r="M27" s="12" t="n">
        <x:f>K27-L27*I27</x:f>
        <x:v>705.75</x:v>
      </x:c>
      <x:c r="N27" t="str">
        <x:v>Enterprise</x:v>
      </x:c>
      <x:c r="O27" t="str">
        <x:v>Distributor</x:v>
      </x:c>
      <x:c r="P27" t="str">
        <x:v>No</x:v>
      </x:c>
      <x:c r="Q27" s="16" t="str"/>
    </x:row>
    <x:row r="28">
      <x:c r="A28" t="str">
        <x:v>ORD-0027</x:v>
      </x:c>
      <x:c r="B28" s="10" t="n">
        <x:v>46062</x:v>
      </x:c>
      <x:c r="C28" t="str">
        <x:v>South</x:v>
      </x:c>
      <x:c r="D28" t="str">
        <x:v>Jason</x:v>
      </x:c>
      <x:c r="E28" t="str">
        <x:v>P008</x:v>
      </x:c>
      <x:c r="F28" t="str">
        <x:v>MonitorArm X</x:v>
      </x:c>
      <x:c r="G28" t="str">
        <x:v>Office</x:v>
      </x:c>
      <x:c r="H28" s="12" t="n">
        <x:v>269</x:v>
      </x:c>
      <x:c r="I28" t="n">
        <x:v>7</x:v>
      </x:c>
      <x:c r="J28" s="14" t="n">
        <x:v>0</x:v>
      </x:c>
      <x:c r="K28" s="12" t="n">
        <x:f>H28*I28*(1-J28)</x:f>
        <x:v>1883</x:v>
      </x:c>
      <x:c r="L28" s="12" t="n">
        <x:v>145</x:v>
      </x:c>
      <x:c r="M28" s="12" t="n">
        <x:f>K28-L28*I28</x:f>
        <x:v>868</x:v>
      </x:c>
      <x:c r="N28" t="str">
        <x:v>Enterprise</x:v>
      </x:c>
      <x:c r="O28" t="str">
        <x:v>Direct Sales</x:v>
      </x:c>
      <x:c r="P28" t="str">
        <x:v>No</x:v>
      </x:c>
      <x:c r="Q28" s="16" t="str"/>
    </x:row>
    <x:row r="29">
      <x:c r="A29" t="str">
        <x:v>ORD-0028</x:v>
      </x:c>
      <x:c r="B29" s="10" t="n">
        <x:v>46035</x:v>
      </x:c>
      <x:c r="C29" t="str">
        <x:v>West</x:v>
      </x:c>
      <x:c r="D29" t="str">
        <x:v>Nina</x:v>
      </x:c>
      <x:c r="E29" t="str">
        <x:v>P001</x:v>
      </x:c>
      <x:c r="F29" t="str">
        <x:v>AirMouse Pro</x:v>
      </x:c>
      <x:c r="G29" t="str">
        <x:v>Electronics</x:v>
      </x:c>
      <x:c r="H29" s="12" t="n">
        <x:v>299</x:v>
      </x:c>
      <x:c r="I29" t="n">
        <x:v>2</x:v>
      </x:c>
      <x:c r="J29" s="14" t="n">
        <x:v>0.1</x:v>
      </x:c>
      <x:c r="K29" s="12" t="n">
        <x:f>H29*I29*(1-J29)</x:f>
        <x:v>538.2</x:v>
      </x:c>
      <x:c r="L29" s="12" t="n">
        <x:v>168</x:v>
      </x:c>
      <x:c r="M29" s="12" t="n">
        <x:f>K29-L29*I29</x:f>
        <x:v>202.20000000000005</x:v>
      </x:c>
      <x:c r="N29" t="str">
        <x:v>Enterprise</x:v>
      </x:c>
      <x:c r="O29" t="str">
        <x:v>Online</x:v>
      </x:c>
      <x:c r="P29" t="str">
        <x:v>No</x:v>
      </x:c>
      <x:c r="Q29" s="16" t="str"/>
    </x:row>
    <x:row r="30">
      <x:c r="A30" t="str">
        <x:v>ORD-0029</x:v>
      </x:c>
      <x:c r="B30" s="10" t="n">
        <x:v>46126</x:v>
      </x:c>
      <x:c r="C30" t="str">
        <x:v>East</x:v>
      </x:c>
      <x:c r="D30" t="str">
        <x:v>Alice</x:v>
      </x:c>
      <x:c r="E30" t="str">
        <x:v>P004</x:v>
      </x:c>
      <x:c r="F30" t="str">
        <x:v>CloudKeyboard Mini</x:v>
      </x:c>
      <x:c r="G30" t="str">
        <x:v>Electronics</x:v>
      </x:c>
      <x:c r="H30" s="12" t="n">
        <x:v>399</x:v>
      </x:c>
      <x:c r="I30" t="n">
        <x:v>2</x:v>
      </x:c>
      <x:c r="J30" s="14" t="n">
        <x:v>0.1</x:v>
      </x:c>
      <x:c r="K30" s="12" t="n">
        <x:f>H30*I30*(1-J30)</x:f>
        <x:v>718.2</x:v>
      </x:c>
      <x:c r="L30" s="12" t="n">
        <x:v>230</x:v>
      </x:c>
      <x:c r="M30" s="12" t="n">
        <x:f>K30-L30*I30</x:f>
        <x:v>258.20000000000005</x:v>
      </x:c>
      <x:c r="N30" t="str">
        <x:v>Enterprise</x:v>
      </x:c>
      <x:c r="O30" t="str">
        <x:v>Distributor</x:v>
      </x:c>
      <x:c r="P30" t="str">
        <x:v>No</x:v>
      </x:c>
      <x:c r="Q30" s="16" t="str"/>
    </x:row>
    <x:row r="31">
      <x:c r="A31" t="str">
        <x:v>ORD-0030</x:v>
      </x:c>
      <x:c r="B31" s="10" t="n">
        <x:v>46089</x:v>
      </x:c>
      <x:c r="C31" t="str">
        <x:v>South</x:v>
      </x:c>
      <x:c r="D31" t="str">
        <x:v>Jason</x:v>
      </x:c>
      <x:c r="E31" t="str">
        <x:v>P006</x:v>
      </x:c>
      <x:c r="F31" t="str">
        <x:v>TravelDock Lite</x:v>
      </x:c>
      <x:c r="G31" t="str">
        <x:v>Electronics</x:v>
      </x:c>
      <x:c r="H31" s="12" t="n">
        <x:v>129</x:v>
      </x:c>
      <x:c r="I31" t="n">
        <x:v>8</x:v>
      </x:c>
      <x:c r="J31" s="14" t="n">
        <x:v>0.05</x:v>
      </x:c>
      <x:c r="K31" s="12" t="n">
        <x:f>H31*I31*(1-J31)</x:f>
        <x:v>980.4</x:v>
      </x:c>
      <x:c r="L31" s="12" t="n">
        <x:v>67</x:v>
      </x:c>
      <x:c r="M31" s="12" t="n">
        <x:f>K31-L31*I31</x:f>
        <x:v>444.4</x:v>
      </x:c>
      <x:c r="N31" t="str">
        <x:v>Existing</x:v>
      </x:c>
      <x:c r="O31" t="str">
        <x:v>Direct Sales</x:v>
      </x:c>
      <x:c r="P31" t="str">
        <x:v>No</x:v>
      </x:c>
      <x:c r="Q31" s="16" t="str"/>
    </x:row>
    <x:row r="32">
      <x:c r="A32" t="str">
        <x:v>ORD-0031</x:v>
      </x:c>
      <x:c r="B32" s="10" t="n">
        <x:v>46041</x:v>
      </x:c>
      <x:c r="C32" t="str">
        <x:v>East</x:v>
      </x:c>
      <x:c r="D32" t="str">
        <x:v>Kevin</x:v>
      </x:c>
      <x:c r="E32" t="str">
        <x:v>P006</x:v>
      </x:c>
      <x:c r="F32" t="str">
        <x:v>TravelDock Lite</x:v>
      </x:c>
      <x:c r="G32" t="str">
        <x:v>Electronics</x:v>
      </x:c>
      <x:c r="H32" s="12" t="n">
        <x:v>129</x:v>
      </x:c>
      <x:c r="I32" t="n">
        <x:v>4</x:v>
      </x:c>
      <x:c r="J32" s="14" t="n">
        <x:v>0</x:v>
      </x:c>
      <x:c r="K32" s="12" t="n">
        <x:f>H32*I32*(1-J32)</x:f>
        <x:v>516</x:v>
      </x:c>
      <x:c r="L32" s="12" t="n">
        <x:v>67</x:v>
      </x:c>
      <x:c r="M32" s="12" t="n">
        <x:f>K32-L32*I32</x:f>
        <x:v>248</x:v>
      </x:c>
      <x:c r="N32" t="str">
        <x:v>New</x:v>
      </x:c>
      <x:c r="O32" t="str">
        <x:v>Direct Sales</x:v>
      </x:c>
      <x:c r="P32" t="str">
        <x:v>No</x:v>
      </x:c>
      <x:c r="Q32" s="16" t="str"/>
    </x:row>
    <x:row r="33">
      <x:c r="A33" t="str">
        <x:v>ORD-0032</x:v>
      </x:c>
      <x:c r="B33" s="10" t="n">
        <x:v>46085</x:v>
      </x:c>
      <x:c r="C33" t="str">
        <x:v>North</x:v>
      </x:c>
      <x:c r="D33" t="str">
        <x:v>Emma</x:v>
      </x:c>
      <x:c r="E33" t="str">
        <x:v>P002</x:v>
      </x:c>
      <x:c r="F33" t="str">
        <x:v>DeskHub 8-in-1</x:v>
      </x:c>
      <x:c r="G33" t="str">
        <x:v>Electronics</x:v>
      </x:c>
      <x:c r="H33" s="12" t="n">
        <x:v>219</x:v>
      </x:c>
      <x:c r="I33" t="n">
        <x:v>6</x:v>
      </x:c>
      <x:c r="J33" s="14" t="n">
        <x:v>0.08</x:v>
      </x:c>
      <x:c r="K33" s="12" t="n">
        <x:f>H33*I33*(1-J33)</x:f>
        <x:v>1208.88</x:v>
      </x:c>
      <x:c r="L33" s="12" t="n">
        <x:v>121</x:v>
      </x:c>
      <x:c r="M33" s="12" t="n">
        <x:f>K33-L33*I33</x:f>
        <x:v>482.8800000000001</x:v>
      </x:c>
      <x:c r="N33" t="str">
        <x:v>Enterprise</x:v>
      </x:c>
      <x:c r="O33" t="str">
        <x:v>Distributor</x:v>
      </x:c>
      <x:c r="P33" t="str">
        <x:v>No</x:v>
      </x:c>
      <x:c r="Q33" s="16" t="str"/>
    </x:row>
    <x:row r="34">
      <x:c r="A34" t="str">
        <x:v>ORD-0033</x:v>
      </x:c>
      <x:c r="B34" s="10" t="n">
        <x:v>46193</x:v>
      </x:c>
      <x:c r="C34" t="str">
        <x:v>North</x:v>
      </x:c>
      <x:c r="D34" t="str">
        <x:v>Leo</x:v>
      </x:c>
      <x:c r="E34" t="str">
        <x:v>P001</x:v>
      </x:c>
      <x:c r="F34" t="str">
        <x:v>AirMouse Pro</x:v>
      </x:c>
      <x:c r="G34" t="str">
        <x:v>Electronics</x:v>
      </x:c>
      <x:c r="H34" s="12" t="n">
        <x:v>299</x:v>
      </x:c>
      <x:c r="I34" t="n">
        <x:v>5</x:v>
      </x:c>
      <x:c r="J34" s="14" t="n">
        <x:v>0.05</x:v>
      </x:c>
      <x:c r="K34" s="12" t="n">
        <x:f>H34*I34*(1-J34)</x:f>
        <x:v>1420.25</x:v>
      </x:c>
      <x:c r="L34" s="12" t="n">
        <x:v>168</x:v>
      </x:c>
      <x:c r="M34" s="12" t="n">
        <x:f>K34-L34*I34</x:f>
        <x:v>580.25</x:v>
      </x:c>
      <x:c r="N34" t="str">
        <x:v>Enterprise</x:v>
      </x:c>
      <x:c r="O34" t="str">
        <x:v>Online</x:v>
      </x:c>
      <x:c r="P34" t="str">
        <x:v>No</x:v>
      </x:c>
      <x:c r="Q34" s="16" t="str"/>
    </x:row>
    <x:row r="35">
      <x:c r="A35" t="str">
        <x:v>ORD-0034</x:v>
      </x:c>
      <x:c r="B35" s="10" t="n">
        <x:v>46095</x:v>
      </x:c>
      <x:c r="C35" t="str">
        <x:v>South</x:v>
      </x:c>
      <x:c r="D35" t="str">
        <x:v>Jason</x:v>
      </x:c>
      <x:c r="E35" t="str">
        <x:v>P005</x:v>
      </x:c>
      <x:c r="F35" t="str">
        <x:v>FocusLamp</x:v>
      </x:c>
      <x:c r="G35" t="str">
        <x:v>Office</x:v>
      </x:c>
      <x:c r="H35" s="12" t="n">
        <x:v>189</x:v>
      </x:c>
      <x:c r="I35" t="n">
        <x:v>7</x:v>
      </x:c>
      <x:c r="J35" s="14" t="n">
        <x:v>0.15</x:v>
      </x:c>
      <x:c r="K35" s="12" t="n">
        <x:f>H35*I35*(1-J35)</x:f>
        <x:v>1124.55</x:v>
      </x:c>
      <x:c r="L35" s="12" t="n">
        <x:v>91</x:v>
      </x:c>
      <x:c r="M35" s="12" t="n">
        <x:f>K35-L35*I35</x:f>
        <x:v>487.54999999999995</x:v>
      </x:c>
      <x:c r="N35" t="str">
        <x:v>Existing</x:v>
      </x:c>
      <x:c r="O35" t="str">
        <x:v>Direct Sales</x:v>
      </x:c>
      <x:c r="P35" t="str">
        <x:v>No</x:v>
      </x:c>
      <x:c r="Q35" s="16" t="str"/>
    </x:row>
    <x:row r="36">
      <x:c r="A36" t="str">
        <x:v>ORD-0035</x:v>
      </x:c>
      <x:c r="B36" s="10" t="n">
        <x:v>46046</x:v>
      </x:c>
      <x:c r="C36" t="str">
        <x:v>West</x:v>
      </x:c>
      <x:c r="D36" t="str">
        <x:v>Ryan</x:v>
      </x:c>
      <x:c r="E36" t="str">
        <x:v>P001</x:v>
      </x:c>
      <x:c r="F36" t="str">
        <x:v>AirMouse Pro</x:v>
      </x:c>
      <x:c r="G36" t="str">
        <x:v>Electronics</x:v>
      </x:c>
      <x:c r="H36" s="12" t="n">
        <x:v>299</x:v>
      </x:c>
      <x:c r="I36" t="n">
        <x:v>2</x:v>
      </x:c>
      <x:c r="J36" s="14" t="n">
        <x:v>0</x:v>
      </x:c>
      <x:c r="K36" s="12" t="n">
        <x:f>H36*I36*(1-J36)</x:f>
        <x:v>598</x:v>
      </x:c>
      <x:c r="L36" s="12" t="n">
        <x:v>168</x:v>
      </x:c>
      <x:c r="M36" s="12" t="n">
        <x:f>K36-L36*I36</x:f>
        <x:v>262</x:v>
      </x:c>
      <x:c r="N36" t="str">
        <x:v>Existing</x:v>
      </x:c>
      <x:c r="O36" t="str">
        <x:v>Online</x:v>
      </x:c>
      <x:c r="P36" t="str">
        <x:v>No</x:v>
      </x:c>
      <x:c r="Q36" s="16" t="str"/>
    </x:row>
    <x:row r="37">
      <x:c r="A37" t="str">
        <x:v>ORD-0036</x:v>
      </x:c>
      <x:c r="B37" s="10" t="n">
        <x:v>46164</x:v>
      </x:c>
      <x:c r="C37" t="str">
        <x:v>West</x:v>
      </x:c>
      <x:c r="D37" t="str">
        <x:v>Nina</x:v>
      </x:c>
      <x:c r="E37" t="str">
        <x:v>P008</x:v>
      </x:c>
      <x:c r="F37" t="str">
        <x:v>MonitorArm X</x:v>
      </x:c>
      <x:c r="G37" t="str">
        <x:v>Office</x:v>
      </x:c>
      <x:c r="H37" s="12" t="n">
        <x:v>269</x:v>
      </x:c>
      <x:c r="I37" t="n">
        <x:v>4</x:v>
      </x:c>
      <x:c r="J37" s="14" t="n">
        <x:v>0</x:v>
      </x:c>
      <x:c r="K37" s="12" t="n">
        <x:f>H37*I37*(1-J37)</x:f>
        <x:v>1076</x:v>
      </x:c>
      <x:c r="L37" s="12" t="n">
        <x:v>145</x:v>
      </x:c>
      <x:c r="M37" s="12" t="n">
        <x:f>K37-L37*I37</x:f>
        <x:v>496</x:v>
      </x:c>
      <x:c r="N37" t="str">
        <x:v>New</x:v>
      </x:c>
      <x:c r="O37" t="str">
        <x:v>Distributor</x:v>
      </x:c>
      <x:c r="P37" t="str">
        <x:v>No</x:v>
      </x:c>
      <x:c r="Q37" s="16" t="str"/>
    </x:row>
    <x:row r="38">
      <x:c r="A38" t="str">
        <x:v>ORD-0037</x:v>
      </x:c>
      <x:c r="B38" s="10" t="n">
        <x:v>46117</x:v>
      </x:c>
      <x:c r="C38" t="str">
        <x:v>South</x:v>
      </x:c>
      <x:c r="D38" t="str">
        <x:v>Jason</x:v>
      </x:c>
      <x:c r="E38" t="str">
        <x:v>P001</x:v>
      </x:c>
      <x:c r="F38" t="str">
        <x:v>AirMouse Pro</x:v>
      </x:c>
      <x:c r="G38" t="str">
        <x:v>Electronics</x:v>
      </x:c>
      <x:c r="H38" s="12" t="n">
        <x:v>299</x:v>
      </x:c>
      <x:c r="I38" t="n">
        <x:v>5</x:v>
      </x:c>
      <x:c r="J38" s="14" t="n">
        <x:v>0</x:v>
      </x:c>
      <x:c r="K38" s="12" t="n">
        <x:f>H38*I38*(1-J38)</x:f>
        <x:v>1495</x:v>
      </x:c>
      <x:c r="L38" s="12" t="n">
        <x:v>168</x:v>
      </x:c>
      <x:c r="M38" s="12" t="n">
        <x:f>K38-L38*I38</x:f>
        <x:v>655</x:v>
      </x:c>
      <x:c r="N38" t="str">
        <x:v>New</x:v>
      </x:c>
      <x:c r="O38" t="str">
        <x:v>Direct Sales</x:v>
      </x:c>
      <x:c r="P38" t="str">
        <x:v>No</x:v>
      </x:c>
      <x:c r="Q38" s="16" t="str"/>
    </x:row>
    <x:row r="39">
      <x:c r="A39" t="str">
        <x:v>ORD-0038</x:v>
      </x:c>
      <x:c r="B39" s="10" t="n">
        <x:v>46197</x:v>
      </x:c>
      <x:c r="C39" t="str">
        <x:v>South</x:v>
      </x:c>
      <x:c r="D39" t="str">
        <x:v>Mia</x:v>
      </x:c>
      <x:c r="E39" t="str">
        <x:v>P004</x:v>
      </x:c>
      <x:c r="F39" t="str">
        <x:v>CloudKeyboard Mini</x:v>
      </x:c>
      <x:c r="G39" t="str">
        <x:v>Electronics</x:v>
      </x:c>
      <x:c r="H39" s="12" t="n">
        <x:v>399</x:v>
      </x:c>
      <x:c r="I39" t="n">
        <x:v>12</x:v>
      </x:c>
      <x:c r="J39" s="14" t="n">
        <x:v>0.1</x:v>
      </x:c>
      <x:c r="K39" s="12" t="n">
        <x:f>H39*I39*(1-J39)</x:f>
        <x:v>4309.2</x:v>
      </x:c>
      <x:c r="L39" s="12" t="n">
        <x:v>230</x:v>
      </x:c>
      <x:c r="M39" s="12" t="n">
        <x:f>K39-L39*I39</x:f>
        <x:v>1549.1999999999998</x:v>
      </x:c>
      <x:c r="N39" t="str">
        <x:v>Enterprise</x:v>
      </x:c>
      <x:c r="O39" t="str">
        <x:v>Distributor</x:v>
      </x:c>
      <x:c r="P39" t="str">
        <x:v>No</x:v>
      </x:c>
      <x:c r="Q39" s="16" t="str"/>
    </x:row>
    <x:row r="40">
      <x:c r="A40" t="str">
        <x:v>ORD-0039</x:v>
      </x:c>
      <x:c r="B40" s="10" t="n">
        <x:v>46083</x:v>
      </x:c>
      <x:c r="C40" t="str">
        <x:v>South</x:v>
      </x:c>
      <x:c r="D40" t="str">
        <x:v>Mia</x:v>
      </x:c>
      <x:c r="E40" t="str">
        <x:v>P003</x:v>
      </x:c>
      <x:c r="F40" t="str">
        <x:v>ErgoStand S2</x:v>
      </x:c>
      <x:c r="G40" t="str">
        <x:v>Office</x:v>
      </x:c>
      <x:c r="H40" s="12" t="n">
        <x:v>159</x:v>
      </x:c>
      <x:c r="I40" t="n">
        <x:v>14</x:v>
      </x:c>
      <x:c r="J40" s="14" t="n">
        <x:v>0</x:v>
      </x:c>
      <x:c r="K40" s="12" t="n">
        <x:f>H40*I40*(1-J40)</x:f>
        <x:v>2226</x:v>
      </x:c>
      <x:c r="L40" s="12" t="n">
        <x:v>78</x:v>
      </x:c>
      <x:c r="M40" s="12" t="n">
        <x:f>K40-L40*I40</x:f>
        <x:v>1134</x:v>
      </x:c>
      <x:c r="N40" t="str">
        <x:v>Existing</x:v>
      </x:c>
      <x:c r="O40" t="str">
        <x:v>Distributor</x:v>
      </x:c>
      <x:c r="P40" t="str">
        <x:v>No</x:v>
      </x:c>
      <x:c r="Q40" s="16" t="str"/>
    </x:row>
    <x:row r="41">
      <x:c r="A41" t="str">
        <x:v>ORD-0040</x:v>
      </x:c>
      <x:c r="B41" s="10" t="n">
        <x:v>46091</x:v>
      </x:c>
      <x:c r="C41" t="str">
        <x:v>South</x:v>
      </x:c>
      <x:c r="D41" t="str">
        <x:v>Mia</x:v>
      </x:c>
      <x:c r="E41" t="str">
        <x:v>P004</x:v>
      </x:c>
      <x:c r="F41" t="str">
        <x:v>CloudKeyboard Mini</x:v>
      </x:c>
      <x:c r="G41" t="str">
        <x:v>Electronics</x:v>
      </x:c>
      <x:c r="H41" s="12" t="n">
        <x:v>399</x:v>
      </x:c>
      <x:c r="I41" t="n">
        <x:v>13</x:v>
      </x:c>
      <x:c r="J41" s="14" t="n">
        <x:v>0</x:v>
      </x:c>
      <x:c r="K41" s="12" t="n">
        <x:f>H41*I41*(1-J41)</x:f>
        <x:v>5187</x:v>
      </x:c>
      <x:c r="L41" s="12" t="n">
        <x:v>230</x:v>
      </x:c>
      <x:c r="M41" s="12" t="n">
        <x:f>K41-L41*I41</x:f>
        <x:v>2197</x:v>
      </x:c>
      <x:c r="N41" t="str">
        <x:v>Existing</x:v>
      </x:c>
      <x:c r="O41" t="str">
        <x:v>Direct Sales</x:v>
      </x:c>
      <x:c r="P41" t="str">
        <x:v>No</x:v>
      </x:c>
      <x:c r="Q41" s="16" t="str"/>
    </x:row>
    <x:row r="42">
      <x:c r="A42" t="str">
        <x:v>ORD-0041</x:v>
      </x:c>
      <x:c r="B42" s="10" t="n">
        <x:v>46081</x:v>
      </x:c>
      <x:c r="C42" t="str">
        <x:v>South</x:v>
      </x:c>
      <x:c r="D42" t="str">
        <x:v>Mia</x:v>
      </x:c>
      <x:c r="E42" t="str">
        <x:v>P005</x:v>
      </x:c>
      <x:c r="F42" t="str">
        <x:v>FocusLamp</x:v>
      </x:c>
      <x:c r="G42" t="str">
        <x:v>Office</x:v>
      </x:c>
      <x:c r="H42" s="12" t="n">
        <x:v>189</x:v>
      </x:c>
      <x:c r="I42" t="n">
        <x:v>7</x:v>
      </x:c>
      <x:c r="J42" s="14" t="n">
        <x:v>0.08</x:v>
      </x:c>
      <x:c r="K42" s="12" t="n">
        <x:f>H42*I42*(1-J42)</x:f>
        <x:v>1217.16</x:v>
      </x:c>
      <x:c r="L42" s="12" t="n">
        <x:v>91</x:v>
      </x:c>
      <x:c r="M42" s="12" t="n">
        <x:f>K42-L42*I42</x:f>
        <x:v>580.1600000000001</x:v>
      </x:c>
      <x:c r="N42" t="str">
        <x:v>Existing</x:v>
      </x:c>
      <x:c r="O42" t="str">
        <x:v>Direct Sales</x:v>
      </x:c>
      <x:c r="P42" t="str">
        <x:v>No</x:v>
      </x:c>
      <x:c r="Q42" s="16" t="str"/>
    </x:row>
    <x:row r="43">
      <x:c r="A43" t="str">
        <x:v>ORD-0042</x:v>
      </x:c>
      <x:c r="B43" s="10" t="n">
        <x:v>46196</x:v>
      </x:c>
      <x:c r="C43" t="str">
        <x:v>North</x:v>
      </x:c>
      <x:c r="D43" t="str">
        <x:v>Leo</x:v>
      </x:c>
      <x:c r="E43" t="str">
        <x:v>P007</x:v>
      </x:c>
      <x:c r="F43" t="str">
        <x:v>CableKit Max</x:v>
      </x:c>
      <x:c r="G43" t="str">
        <x:v>Accessories</x:v>
      </x:c>
      <x:c r="H43" s="12" t="n">
        <x:v>79</x:v>
      </x:c>
      <x:c r="I43" t="n">
        <x:v>4</x:v>
      </x:c>
      <x:c r="J43" s="14" t="n">
        <x:v>0.05</x:v>
      </x:c>
      <x:c r="K43" s="12" t="n">
        <x:f>H43*I43*(1-J43)</x:f>
        <x:v>300.2</x:v>
      </x:c>
      <x:c r="L43" s="12" t="n">
        <x:v>28</x:v>
      </x:c>
      <x:c r="M43" s="12" t="n">
        <x:f>K43-L43*I43</x:f>
        <x:v>188.2</x:v>
      </x:c>
      <x:c r="N43" t="str">
        <x:v>Existing</x:v>
      </x:c>
      <x:c r="O43" t="str">
        <x:v>Online</x:v>
      </x:c>
      <x:c r="P43" t="str">
        <x:v>No</x:v>
      </x:c>
      <x:c r="Q43" s="16" t="str"/>
    </x:row>
    <x:row r="44">
      <x:c r="A44" t="str">
        <x:v>ORD-0043</x:v>
      </x:c>
      <x:c r="B44" s="10" t="n">
        <x:v>46175</x:v>
      </x:c>
      <x:c r="C44" t="str">
        <x:v>West</x:v>
      </x:c>
      <x:c r="D44" t="str">
        <x:v>Ryan</x:v>
      </x:c>
      <x:c r="E44" t="str">
        <x:v>P002</x:v>
      </x:c>
      <x:c r="F44" t="str">
        <x:v>DeskHub 8-in-1</x:v>
      </x:c>
      <x:c r="G44" t="str">
        <x:v>Electronics</x:v>
      </x:c>
      <x:c r="H44" s="12" t="n">
        <x:v>219</x:v>
      </x:c>
      <x:c r="I44" t="n">
        <x:v>11</x:v>
      </x:c>
      <x:c r="J44" s="14" t="n">
        <x:v>0.08</x:v>
      </x:c>
      <x:c r="K44" s="12" t="n">
        <x:f>H44*I44*(1-J44)</x:f>
        <x:v>2216.28</x:v>
      </x:c>
      <x:c r="L44" s="12" t="n">
        <x:v>121</x:v>
      </x:c>
      <x:c r="M44" s="12" t="n">
        <x:f>K44-L44*I44</x:f>
        <x:v>885.2800000000002</x:v>
      </x:c>
      <x:c r="N44" t="str">
        <x:v>Existing</x:v>
      </x:c>
      <x:c r="O44" t="str">
        <x:v>Distributor</x:v>
      </x:c>
      <x:c r="P44" t="str">
        <x:v>No</x:v>
      </x:c>
      <x:c r="Q44" s="16" t="str"/>
    </x:row>
    <x:row r="45">
      <x:c r="A45" t="str">
        <x:v>ORD-0044</x:v>
      </x:c>
      <x:c r="B45" s="10" t="n">
        <x:v>46088</x:v>
      </x:c>
      <x:c r="C45" t="str">
        <x:v>East</x:v>
      </x:c>
      <x:c r="D45" t="str">
        <x:v>Kevin</x:v>
      </x:c>
      <x:c r="E45" t="str">
        <x:v>P004</x:v>
      </x:c>
      <x:c r="F45" t="str">
        <x:v>CloudKeyboard Mini</x:v>
      </x:c>
      <x:c r="G45" t="str">
        <x:v>Electronics</x:v>
      </x:c>
      <x:c r="H45" s="12" t="n">
        <x:v>399</x:v>
      </x:c>
      <x:c r="I45" t="n">
        <x:v>1</x:v>
      </x:c>
      <x:c r="J45" s="14" t="n">
        <x:v>0.1</x:v>
      </x:c>
      <x:c r="K45" s="12" t="n">
        <x:f>H45*I45*(1-J45)</x:f>
        <x:v>359.1</x:v>
      </x:c>
      <x:c r="L45" s="12" t="n">
        <x:v>230</x:v>
      </x:c>
      <x:c r="M45" s="12" t="n">
        <x:f>K45-L45*I45</x:f>
        <x:v>129.10000000000002</x:v>
      </x:c>
      <x:c r="N45" t="str">
        <x:v>Enterprise</x:v>
      </x:c>
      <x:c r="O45" t="str">
        <x:v>Distributor</x:v>
      </x:c>
      <x:c r="P45" t="str">
        <x:v>No</x:v>
      </x:c>
      <x:c r="Q45" s="16" t="str"/>
    </x:row>
    <x:row r="46">
      <x:c r="A46" t="str">
        <x:v>ORD-0045</x:v>
      </x:c>
      <x:c r="B46" s="10" t="n">
        <x:v>46116</x:v>
      </x:c>
      <x:c r="C46" t="str">
        <x:v>West</x:v>
      </x:c>
      <x:c r="D46" t="str">
        <x:v>Nina</x:v>
      </x:c>
      <x:c r="E46" t="str">
        <x:v>P004</x:v>
      </x:c>
      <x:c r="F46" t="str">
        <x:v>CloudKeyboard Mini</x:v>
      </x:c>
      <x:c r="G46" t="str">
        <x:v>Electronics</x:v>
      </x:c>
      <x:c r="H46" s="12" t="n">
        <x:v>399</x:v>
      </x:c>
      <x:c r="I46" t="n">
        <x:v>11</x:v>
      </x:c>
      <x:c r="J46" s="14" t="n">
        <x:v>0.1</x:v>
      </x:c>
      <x:c r="K46" s="12" t="n">
        <x:f>H46*I46*(1-J46)</x:f>
        <x:v>3950.1</x:v>
      </x:c>
      <x:c r="L46" s="12" t="n">
        <x:v>230</x:v>
      </x:c>
      <x:c r="M46" s="12" t="n">
        <x:f>K46-L46*I46</x:f>
        <x:v>1420.1</x:v>
      </x:c>
      <x:c r="N46" t="str">
        <x:v>Enterprise</x:v>
      </x:c>
      <x:c r="O46" t="str">
        <x:v>Direct Sales</x:v>
      </x:c>
      <x:c r="P46" t="str">
        <x:v>No</x:v>
      </x:c>
      <x:c r="Q46" s="16" t="str"/>
    </x:row>
    <x:row r="47">
      <x:c r="A47" t="str">
        <x:v>ORD-0046</x:v>
      </x:c>
      <x:c r="B47" s="10" t="n">
        <x:v>46193</x:v>
      </x:c>
      <x:c r="C47" t="str">
        <x:v>West</x:v>
      </x:c>
      <x:c r="D47" t="str">
        <x:v>Ryan</x:v>
      </x:c>
      <x:c r="E47" t="str">
        <x:v>P005</x:v>
      </x:c>
      <x:c r="F47" t="str">
        <x:v>FocusLamp</x:v>
      </x:c>
      <x:c r="G47" t="str">
        <x:v>Office</x:v>
      </x:c>
      <x:c r="H47" s="12" t="n">
        <x:v>189</x:v>
      </x:c>
      <x:c r="I47" t="n">
        <x:v>13</x:v>
      </x:c>
      <x:c r="J47" s="14" t="n">
        <x:v>0.15</x:v>
      </x:c>
      <x:c r="K47" s="12" t="n">
        <x:f>H47*I47*(1-J47)</x:f>
        <x:v>2088.45</x:v>
      </x:c>
      <x:c r="L47" s="12" t="n">
        <x:v>91</x:v>
      </x:c>
      <x:c r="M47" s="12" t="n">
        <x:f>K47-L47*I47</x:f>
        <x:v>905.4499999999998</x:v>
      </x:c>
      <x:c r="N47" t="str">
        <x:v>Existing</x:v>
      </x:c>
      <x:c r="O47" t="str">
        <x:v>Distributor</x:v>
      </x:c>
      <x:c r="P47" t="str">
        <x:v>No</x:v>
      </x:c>
      <x:c r="Q47" s="16" t="str"/>
    </x:row>
    <x:row r="48">
      <x:c r="A48" t="str">
        <x:v>ORD-0047</x:v>
      </x:c>
      <x:c r="B48" s="10" t="n">
        <x:v>46196</x:v>
      </x:c>
      <x:c r="C48" t="str">
        <x:v>South</x:v>
      </x:c>
      <x:c r="D48" t="str">
        <x:v>Jason</x:v>
      </x:c>
      <x:c r="E48" t="str">
        <x:v>P007</x:v>
      </x:c>
      <x:c r="F48" t="str">
        <x:v>CableKit Max</x:v>
      </x:c>
      <x:c r="G48" t="str">
        <x:v>Accessories</x:v>
      </x:c>
      <x:c r="H48" s="12" t="n">
        <x:v>79</x:v>
      </x:c>
      <x:c r="I48" t="n">
        <x:v>13</x:v>
      </x:c>
      <x:c r="J48" s="14" t="n">
        <x:v>0.1</x:v>
      </x:c>
      <x:c r="K48" s="12" t="n">
        <x:f>H48*I48*(1-J48)</x:f>
        <x:v>924.3000000000001</x:v>
      </x:c>
      <x:c r="L48" s="12" t="n">
        <x:v>28</x:v>
      </x:c>
      <x:c r="M48" s="12" t="n">
        <x:f>K48-L48*I48</x:f>
        <x:v>560.3000000000001</x:v>
      </x:c>
      <x:c r="N48" t="str">
        <x:v>New</x:v>
      </x:c>
      <x:c r="O48" t="str">
        <x:v>Direct Sales</x:v>
      </x:c>
      <x:c r="P48" t="str">
        <x:v>No</x:v>
      </x:c>
      <x:c r="Q48" s="16" t="str"/>
    </x:row>
    <x:row r="49">
      <x:c r="A49" t="str">
        <x:v>ORD-0048</x:v>
      </x:c>
      <x:c r="B49" s="10" t="n">
        <x:v>46142</x:v>
      </x:c>
      <x:c r="C49" t="str">
        <x:v>West</x:v>
      </x:c>
      <x:c r="D49" t="str">
        <x:v>Ryan</x:v>
      </x:c>
      <x:c r="E49" t="str">
        <x:v>P006</x:v>
      </x:c>
      <x:c r="F49" t="str">
        <x:v>TravelDock Lite</x:v>
      </x:c>
      <x:c r="G49" t="str">
        <x:v>Electronics</x:v>
      </x:c>
      <x:c r="H49" s="12" t="n">
        <x:v>129</x:v>
      </x:c>
      <x:c r="I49" t="n">
        <x:v>7</x:v>
      </x:c>
      <x:c r="J49" s="14" t="n">
        <x:v>0.1</x:v>
      </x:c>
      <x:c r="K49" s="12" t="n">
        <x:f>H49*I49*(1-J49)</x:f>
        <x:v>812.7</x:v>
      </x:c>
      <x:c r="L49" s="12" t="n">
        <x:v>67</x:v>
      </x:c>
      <x:c r="M49" s="12" t="n">
        <x:f>K49-L49*I49</x:f>
        <x:v>343.70000000000005</x:v>
      </x:c>
      <x:c r="N49" t="str">
        <x:v>Enterprise</x:v>
      </x:c>
      <x:c r="O49" t="str">
        <x:v>Online</x:v>
      </x:c>
      <x:c r="P49" t="str">
        <x:v>No</x:v>
      </x:c>
      <x:c r="Q49" s="16" t="str"/>
    </x:row>
    <x:row r="50">
      <x:c r="A50" t="str">
        <x:v>ORD-0049</x:v>
      </x:c>
      <x:c r="B50" s="10" t="n">
        <x:v>46095</x:v>
      </x:c>
      <x:c r="C50" t="str">
        <x:v>North</x:v>
      </x:c>
      <x:c r="D50" t="str">
        <x:v>Leo</x:v>
      </x:c>
      <x:c r="E50" t="str">
        <x:v>P002</x:v>
      </x:c>
      <x:c r="F50" t="str">
        <x:v>DeskHub 8-in-1</x:v>
      </x:c>
      <x:c r="G50" t="str">
        <x:v>Electronics</x:v>
      </x:c>
      <x:c r="H50" s="12" t="n">
        <x:v>219</x:v>
      </x:c>
      <x:c r="I50" t="n">
        <x:v>8</x:v>
      </x:c>
      <x:c r="J50" s="14" t="n">
        <x:v>0.15</x:v>
      </x:c>
      <x:c r="K50" s="12" t="n">
        <x:f>H50*I50*(1-J50)</x:f>
        <x:v>1489.2</x:v>
      </x:c>
      <x:c r="L50" s="12" t="n">
        <x:v>121</x:v>
      </x:c>
      <x:c r="M50" s="12" t="n">
        <x:f>K50-L50*I50</x:f>
        <x:v>521.2</x:v>
      </x:c>
      <x:c r="N50" t="str">
        <x:v>New</x:v>
      </x:c>
      <x:c r="O50" t="str">
        <x:v>Online</x:v>
      </x:c>
      <x:c r="P50" t="str">
        <x:v>No</x:v>
      </x:c>
      <x:c r="Q50" s="16" t="str"/>
    </x:row>
    <x:row r="51">
      <x:c r="A51" t="str">
        <x:v>ORD-0050</x:v>
      </x:c>
      <x:c r="B51" s="10" t="n">
        <x:v>46085</x:v>
      </x:c>
      <x:c r="C51" t="str">
        <x:v>West</x:v>
      </x:c>
      <x:c r="D51" t="str">
        <x:v>Nina</x:v>
      </x:c>
      <x:c r="E51" t="str">
        <x:v>P001</x:v>
      </x:c>
      <x:c r="F51" t="str">
        <x:v>AirMouse Pro</x:v>
      </x:c>
      <x:c r="G51" t="str">
        <x:v>Electronics</x:v>
      </x:c>
      <x:c r="H51" s="12" t="n">
        <x:v>299</x:v>
      </x:c>
      <x:c r="I51" t="n">
        <x:v>15</x:v>
      </x:c>
      <x:c r="J51" s="14" t="n">
        <x:v>0.08</x:v>
      </x:c>
      <x:c r="K51" s="12" t="n">
        <x:f>H51*I51*(1-J51)</x:f>
        <x:v>4126.2</x:v>
      </x:c>
      <x:c r="L51" s="12" t="n">
        <x:v>168</x:v>
      </x:c>
      <x:c r="M51" s="12" t="n">
        <x:f>K51-L51*I51</x:f>
        <x:v>1606.1999999999998</x:v>
      </x:c>
      <x:c r="N51" t="str">
        <x:v>Enterprise</x:v>
      </x:c>
      <x:c r="O51" t="str">
        <x:v>Distributor</x:v>
      </x:c>
      <x:c r="P51" t="str">
        <x:v>No</x:v>
      </x:c>
      <x:c r="Q51" s="16" t="str"/>
    </x:row>
    <x:row r="52">
      <x:c r="A52" t="str">
        <x:v>ORD-0051</x:v>
      </x:c>
      <x:c r="B52" s="10" t="n">
        <x:v>46149</x:v>
      </x:c>
      <x:c r="C52" t="str">
        <x:v>West</x:v>
      </x:c>
      <x:c r="D52" t="str">
        <x:v>Nina</x:v>
      </x:c>
      <x:c r="E52" t="str">
        <x:v>P007</x:v>
      </x:c>
      <x:c r="F52" t="str">
        <x:v>CableKit Max</x:v>
      </x:c>
      <x:c r="G52" t="str">
        <x:v>Accessories</x:v>
      </x:c>
      <x:c r="H52" s="12" t="n">
        <x:v>79</x:v>
      </x:c>
      <x:c r="I52" t="n">
        <x:v>5</x:v>
      </x:c>
      <x:c r="J52" s="14" t="n">
        <x:v>0.15</x:v>
      </x:c>
      <x:c r="K52" s="12" t="n">
        <x:f>H52*I52*(1-J52)</x:f>
        <x:v>335.75</x:v>
      </x:c>
      <x:c r="L52" s="12" t="n">
        <x:v>28</x:v>
      </x:c>
      <x:c r="M52" s="12" t="n">
        <x:f>K52-L52*I52</x:f>
        <x:v>195.75</x:v>
      </x:c>
      <x:c r="N52" t="str">
        <x:v>New</x:v>
      </x:c>
      <x:c r="O52" t="str">
        <x:v>Direct Sales</x:v>
      </x:c>
      <x:c r="P52" t="str">
        <x:v>No</x:v>
      </x:c>
      <x:c r="Q52" s="16" t="str"/>
    </x:row>
    <x:row r="53">
      <x:c r="A53" t="str">
        <x:v>ORD-0052</x:v>
      </x:c>
      <x:c r="B53" s="10" t="n">
        <x:v>46068</x:v>
      </x:c>
      <x:c r="C53" t="str">
        <x:v>West</x:v>
      </x:c>
      <x:c r="D53" t="str">
        <x:v>Nina</x:v>
      </x:c>
      <x:c r="E53" t="str">
        <x:v>P004</x:v>
      </x:c>
      <x:c r="F53" t="str">
        <x:v>CloudKeyboard Mini</x:v>
      </x:c>
      <x:c r="G53" t="str">
        <x:v>Electronics</x:v>
      </x:c>
      <x:c r="H53" s="12" t="n">
        <x:v>399</x:v>
      </x:c>
      <x:c r="I53" t="n">
        <x:v>18</x:v>
      </x:c>
      <x:c r="J53" s="14" t="n">
        <x:v>0</x:v>
      </x:c>
      <x:c r="K53" s="12" t="n">
        <x:f>H53*I53*(1-J53)</x:f>
        <x:v>7182</x:v>
      </x:c>
      <x:c r="L53" s="12" t="n">
        <x:v>230</x:v>
      </x:c>
      <x:c r="M53" s="12" t="n">
        <x:f>K53-L53*I53</x:f>
        <x:v>3042</x:v>
      </x:c>
      <x:c r="N53" t="str">
        <x:v>New</x:v>
      </x:c>
      <x:c r="O53" t="str">
        <x:v>Direct Sales</x:v>
      </x:c>
      <x:c r="P53" t="str">
        <x:v>No</x:v>
      </x:c>
      <x:c r="Q53" s="16" t="str"/>
    </x:row>
    <x:row r="54">
      <x:c r="A54" t="str">
        <x:v>ORD-0053</x:v>
      </x:c>
      <x:c r="B54" s="10" t="n">
        <x:v>46136</x:v>
      </x:c>
      <x:c r="C54" t="str">
        <x:v>West</x:v>
      </x:c>
      <x:c r="D54" t="str">
        <x:v>Ryan</x:v>
      </x:c>
      <x:c r="E54" t="str">
        <x:v>P006</x:v>
      </x:c>
      <x:c r="F54" t="str">
        <x:v>TravelDock Lite</x:v>
      </x:c>
      <x:c r="G54" t="str">
        <x:v>Electronics</x:v>
      </x:c>
      <x:c r="H54" s="12" t="n">
        <x:v>129</x:v>
      </x:c>
      <x:c r="I54" t="n">
        <x:v>6</x:v>
      </x:c>
      <x:c r="J54" s="14" t="n">
        <x:v>0.15</x:v>
      </x:c>
      <x:c r="K54" s="12" t="n">
        <x:f>H54*I54*(1-J54)</x:f>
        <x:v>657.9</x:v>
      </x:c>
      <x:c r="L54" s="12" t="n">
        <x:v>67</x:v>
      </x:c>
      <x:c r="M54" s="12" t="n">
        <x:f>K54-L54*I54</x:f>
        <x:v>255.89999999999998</x:v>
      </x:c>
      <x:c r="N54" t="str">
        <x:v>New</x:v>
      </x:c>
      <x:c r="O54" t="str">
        <x:v>Distributor</x:v>
      </x:c>
      <x:c r="P54" t="str">
        <x:v>No</x:v>
      </x:c>
      <x:c r="Q54" s="16" t="str"/>
    </x:row>
    <x:row r="55">
      <x:c r="A55" t="str">
        <x:v>ORD-0054</x:v>
      </x:c>
      <x:c r="B55" s="10" t="n">
        <x:v>46156</x:v>
      </x:c>
      <x:c r="C55" t="str">
        <x:v>West</x:v>
      </x:c>
      <x:c r="D55" t="str">
        <x:v>Nina</x:v>
      </x:c>
      <x:c r="E55" t="str">
        <x:v>P005</x:v>
      </x:c>
      <x:c r="F55" t="str">
        <x:v>FocusLamp</x:v>
      </x:c>
      <x:c r="G55" t="str">
        <x:v>Office</x:v>
      </x:c>
      <x:c r="H55" s="12" t="n">
        <x:v>189</x:v>
      </x:c>
      <x:c r="I55" t="n">
        <x:v>9</x:v>
      </x:c>
      <x:c r="J55" s="14" t="n">
        <x:v>0.08</x:v>
      </x:c>
      <x:c r="K55" s="12" t="n">
        <x:f>H55*I55*(1-J55)</x:f>
        <x:v>1564.92</x:v>
      </x:c>
      <x:c r="L55" s="12" t="n">
        <x:v>91</x:v>
      </x:c>
      <x:c r="M55" s="12" t="n">
        <x:f>K55-L55*I55</x:f>
        <x:v>745.9200000000001</x:v>
      </x:c>
      <x:c r="N55" t="str">
        <x:v>Existing</x:v>
      </x:c>
      <x:c r="O55" t="str">
        <x:v>Direct Sales</x:v>
      </x:c>
      <x:c r="P55" t="str">
        <x:v>No</x:v>
      </x:c>
      <x:c r="Q55" s="16" t="str"/>
    </x:row>
    <x:row r="56">
      <x:c r="A56" t="str">
        <x:v>ORD-0055</x:v>
      </x:c>
      <x:c r="B56" s="10" t="n">
        <x:v>46161</x:v>
      </x:c>
      <x:c r="C56" t="str">
        <x:v>East</x:v>
      </x:c>
      <x:c r="D56" t="str">
        <x:v>Alice</x:v>
      </x:c>
      <x:c r="E56" t="str">
        <x:v>P006</x:v>
      </x:c>
      <x:c r="F56" t="str">
        <x:v>TravelDock Lite</x:v>
      </x:c>
      <x:c r="G56" t="str">
        <x:v>Electronics</x:v>
      </x:c>
      <x:c r="H56" s="12" t="n">
        <x:v>129</x:v>
      </x:c>
      <x:c r="I56" t="n">
        <x:v>5</x:v>
      </x:c>
      <x:c r="J56" s="14" t="n">
        <x:v>0</x:v>
      </x:c>
      <x:c r="K56" s="12" t="n">
        <x:f>H56*I56*(1-J56)</x:f>
        <x:v>645</x:v>
      </x:c>
      <x:c r="L56" s="12" t="n">
        <x:v>67</x:v>
      </x:c>
      <x:c r="M56" s="12" t="n">
        <x:f>K56-L56*I56</x:f>
        <x:v>310</x:v>
      </x:c>
      <x:c r="N56" t="str">
        <x:v>New</x:v>
      </x:c>
      <x:c r="O56" t="str">
        <x:v>Online</x:v>
      </x:c>
      <x:c r="P56" t="str">
        <x:v>No</x:v>
      </x:c>
      <x:c r="Q56" s="16" t="str"/>
    </x:row>
    <x:row r="57">
      <x:c r="A57" t="str">
        <x:v>ORD-0056</x:v>
      </x:c>
      <x:c r="B57" s="10" t="n">
        <x:v>46127</x:v>
      </x:c>
      <x:c r="C57" t="str">
        <x:v>North</x:v>
      </x:c>
      <x:c r="D57" t="str">
        <x:v>Emma</x:v>
      </x:c>
      <x:c r="E57" t="str">
        <x:v>P007</x:v>
      </x:c>
      <x:c r="F57" t="str">
        <x:v>CableKit Max</x:v>
      </x:c>
      <x:c r="G57" t="str">
        <x:v>Accessories</x:v>
      </x:c>
      <x:c r="H57" s="12" t="n">
        <x:v>79</x:v>
      </x:c>
      <x:c r="I57" t="n">
        <x:v>14</x:v>
      </x:c>
      <x:c r="J57" s="14" t="n">
        <x:v>0</x:v>
      </x:c>
      <x:c r="K57" s="12" t="n">
        <x:f>H57*I57*(1-J57)</x:f>
        <x:v>1106</x:v>
      </x:c>
      <x:c r="L57" s="12" t="n">
        <x:v>28</x:v>
      </x:c>
      <x:c r="M57" s="12" t="n">
        <x:f>K57-L57*I57</x:f>
        <x:v>714</x:v>
      </x:c>
      <x:c r="N57" t="str">
        <x:v>Enterprise</x:v>
      </x:c>
      <x:c r="O57" t="str">
        <x:v>Distributor</x:v>
      </x:c>
      <x:c r="P57" t="str">
        <x:v>No</x:v>
      </x:c>
      <x:c r="Q57" s="16" t="str"/>
    </x:row>
    <x:row r="58">
      <x:c r="A58" t="str">
        <x:v>ORD-0057</x:v>
      </x:c>
      <x:c r="B58" s="10" t="n">
        <x:v>46170</x:v>
      </x:c>
      <x:c r="C58" t="str">
        <x:v>West</x:v>
      </x:c>
      <x:c r="D58" t="str">
        <x:v>Ryan</x:v>
      </x:c>
      <x:c r="E58" t="str">
        <x:v>P001</x:v>
      </x:c>
      <x:c r="F58" t="str">
        <x:v>AirMouse Pro</x:v>
      </x:c>
      <x:c r="G58" t="str">
        <x:v>Electronics</x:v>
      </x:c>
      <x:c r="H58" s="12" t="n">
        <x:v>299</x:v>
      </x:c>
      <x:c r="I58" t="n">
        <x:v>1</x:v>
      </x:c>
      <x:c r="J58" s="14" t="n">
        <x:v>0.05</x:v>
      </x:c>
      <x:c r="K58" s="12" t="n">
        <x:f>H58*I58*(1-J58)</x:f>
        <x:v>284.05</x:v>
      </x:c>
      <x:c r="L58" s="12" t="n">
        <x:v>168</x:v>
      </x:c>
      <x:c r="M58" s="12" t="n">
        <x:f>K58-L58*I58</x:f>
        <x:v>116.05000000000001</x:v>
      </x:c>
      <x:c r="N58" t="str">
        <x:v>Existing</x:v>
      </x:c>
      <x:c r="O58" t="str">
        <x:v>Distributor</x:v>
      </x:c>
      <x:c r="P58" t="str">
        <x:v>No</x:v>
      </x:c>
      <x:c r="Q58" s="16" t="str"/>
    </x:row>
    <x:row r="59">
      <x:c r="A59" t="str">
        <x:v>ORD-0058</x:v>
      </x:c>
      <x:c r="B59" s="10" t="n">
        <x:v>46147</x:v>
      </x:c>
      <x:c r="C59" t="str">
        <x:v>South</x:v>
      </x:c>
      <x:c r="D59" t="str">
        <x:v>Jason</x:v>
      </x:c>
      <x:c r="E59" t="str">
        <x:v>P004</x:v>
      </x:c>
      <x:c r="F59" t="str">
        <x:v>CloudKeyboard Mini</x:v>
      </x:c>
      <x:c r="G59" t="str">
        <x:v>Electronics</x:v>
      </x:c>
      <x:c r="H59" s="12" t="n">
        <x:v>399</x:v>
      </x:c>
      <x:c r="I59" t="n">
        <x:v>14</x:v>
      </x:c>
      <x:c r="J59" s="14" t="n">
        <x:v>0.08</x:v>
      </x:c>
      <x:c r="K59" s="12" t="n">
        <x:f>H59*I59*(1-J59)</x:f>
        <x:v>5139.12</x:v>
      </x:c>
      <x:c r="L59" s="12" t="n">
        <x:v>230</x:v>
      </x:c>
      <x:c r="M59" s="12" t="n">
        <x:f>K59-L59*I59</x:f>
        <x:v>1919.12</x:v>
      </x:c>
      <x:c r="N59" t="str">
        <x:v>Enterprise</x:v>
      </x:c>
      <x:c r="O59" t="str">
        <x:v>Distributor</x:v>
      </x:c>
      <x:c r="P59" t="str">
        <x:v>Yes</x:v>
      </x:c>
      <x:c r="Q59" s="16" t="str">
        <x:v>Customer changed mind</x:v>
      </x:c>
    </x:row>
    <x:row r="60">
      <x:c r="A60" t="str">
        <x:v>ORD-0059</x:v>
      </x:c>
      <x:c r="B60" s="10" t="n">
        <x:v>46065</x:v>
      </x:c>
      <x:c r="C60" t="str">
        <x:v>West</x:v>
      </x:c>
      <x:c r="D60" t="str">
        <x:v>Nina</x:v>
      </x:c>
      <x:c r="E60" t="str">
        <x:v>P007</x:v>
      </x:c>
      <x:c r="F60" t="str">
        <x:v>CableKit Max</x:v>
      </x:c>
      <x:c r="G60" t="str">
        <x:v>Accessories</x:v>
      </x:c>
      <x:c r="H60" s="12" t="n">
        <x:v>79</x:v>
      </x:c>
      <x:c r="I60" t="n">
        <x:v>18</x:v>
      </x:c>
      <x:c r="J60" s="14" t="n">
        <x:v>0</x:v>
      </x:c>
      <x:c r="K60" s="12" t="n">
        <x:f>H60*I60*(1-J60)</x:f>
        <x:v>1422</x:v>
      </x:c>
      <x:c r="L60" s="12" t="n">
        <x:v>28</x:v>
      </x:c>
      <x:c r="M60" s="12" t="n">
        <x:f>K60-L60*I60</x:f>
        <x:v>918</x:v>
      </x:c>
      <x:c r="N60" t="str">
        <x:v>Enterprise</x:v>
      </x:c>
      <x:c r="O60" t="str">
        <x:v>Online</x:v>
      </x:c>
      <x:c r="P60" t="str">
        <x:v>No</x:v>
      </x:c>
      <x:c r="Q60" s="16" t="str"/>
    </x:row>
    <x:row r="61">
      <x:c r="A61" t="str">
        <x:v>ORD-0060</x:v>
      </x:c>
      <x:c r="B61" s="10" t="n">
        <x:v>46187</x:v>
      </x:c>
      <x:c r="C61" t="str">
        <x:v>West</x:v>
      </x:c>
      <x:c r="D61" t="str">
        <x:v>Nina</x:v>
      </x:c>
      <x:c r="E61" t="str">
        <x:v>P002</x:v>
      </x:c>
      <x:c r="F61" t="str">
        <x:v>DeskHub 8-in-1</x:v>
      </x:c>
      <x:c r="G61" t="str">
        <x:v>Electronics</x:v>
      </x:c>
      <x:c r="H61" s="12" t="n">
        <x:v>219</x:v>
      </x:c>
      <x:c r="I61" t="n">
        <x:v>15</x:v>
      </x:c>
      <x:c r="J61" s="14" t="n">
        <x:v>0</x:v>
      </x:c>
      <x:c r="K61" s="12" t="n">
        <x:f>H61*I61*(1-J61)</x:f>
        <x:v>3285</x:v>
      </x:c>
      <x:c r="L61" s="12" t="n">
        <x:v>121</x:v>
      </x:c>
      <x:c r="M61" s="12" t="n">
        <x:f>K61-L61*I61</x:f>
        <x:v>1470</x:v>
      </x:c>
      <x:c r="N61" t="str">
        <x:v>Existing</x:v>
      </x:c>
      <x:c r="O61" t="str">
        <x:v>Online</x:v>
      </x:c>
      <x:c r="P61" t="str">
        <x:v>Yes</x:v>
      </x:c>
      <x:c r="Q61" s="16" t="str">
        <x:v>Customer changed mind</x:v>
      </x:c>
    </x:row>
    <x:row r="62">
      <x:c r="A62" t="str">
        <x:v>ORD-0061</x:v>
      </x:c>
      <x:c r="B62" s="10" t="n">
        <x:v>46106</x:v>
      </x:c>
      <x:c r="C62" t="str">
        <x:v>North</x:v>
      </x:c>
      <x:c r="D62" t="str">
        <x:v>Emma</x:v>
      </x:c>
      <x:c r="E62" t="str">
        <x:v>P008</x:v>
      </x:c>
      <x:c r="F62" t="str">
        <x:v>MonitorArm X</x:v>
      </x:c>
      <x:c r="G62" t="str">
        <x:v>Office</x:v>
      </x:c>
      <x:c r="H62" s="12" t="n">
        <x:v>269</x:v>
      </x:c>
      <x:c r="I62" t="n">
        <x:v>9</x:v>
      </x:c>
      <x:c r="J62" s="14" t="n">
        <x:v>0.08</x:v>
      </x:c>
      <x:c r="K62" s="12" t="n">
        <x:f>H62*I62*(1-J62)</x:f>
        <x:v>2227.32</x:v>
      </x:c>
      <x:c r="L62" s="12" t="n">
        <x:v>145</x:v>
      </x:c>
      <x:c r="M62" s="12" t="n">
        <x:f>K62-L62*I62</x:f>
        <x:v>922.3200000000002</x:v>
      </x:c>
      <x:c r="N62" t="str">
        <x:v>New</x:v>
      </x:c>
      <x:c r="O62" t="str">
        <x:v>Distributor</x:v>
      </x:c>
      <x:c r="P62" t="str">
        <x:v>No</x:v>
      </x:c>
      <x:c r="Q62" s="16" t="str"/>
    </x:row>
    <x:row r="63">
      <x:c r="A63" t="str">
        <x:v>ORD-0062</x:v>
      </x:c>
      <x:c r="B63" s="10" t="n">
        <x:v>46112</x:v>
      </x:c>
      <x:c r="C63" t="str">
        <x:v>South</x:v>
      </x:c>
      <x:c r="D63" t="str">
        <x:v>Mia</x:v>
      </x:c>
      <x:c r="E63" t="str">
        <x:v>P001</x:v>
      </x:c>
      <x:c r="F63" t="str">
        <x:v>AirMouse Pro</x:v>
      </x:c>
      <x:c r="G63" t="str">
        <x:v>Electronics</x:v>
      </x:c>
      <x:c r="H63" s="12" t="n">
        <x:v>299</x:v>
      </x:c>
      <x:c r="I63" t="n">
        <x:v>2</x:v>
      </x:c>
      <x:c r="J63" s="14" t="n">
        <x:v>0</x:v>
      </x:c>
      <x:c r="K63" s="12" t="n">
        <x:f>H63*I63*(1-J63)</x:f>
        <x:v>598</x:v>
      </x:c>
      <x:c r="L63" s="12" t="n">
        <x:v>168</x:v>
      </x:c>
      <x:c r="M63" s="12" t="n">
        <x:f>K63-L63*I63</x:f>
        <x:v>262</x:v>
      </x:c>
      <x:c r="N63" t="str">
        <x:v>New</x:v>
      </x:c>
      <x:c r="O63" t="str">
        <x:v>Distributor</x:v>
      </x:c>
      <x:c r="P63" t="str">
        <x:v>No</x:v>
      </x:c>
      <x:c r="Q63" s="16" t="str"/>
    </x:row>
    <x:row r="64">
      <x:c r="A64" t="str">
        <x:v>ORD-0063</x:v>
      </x:c>
      <x:c r="B64" s="10" t="n">
        <x:v>46084</x:v>
      </x:c>
      <x:c r="C64" t="str">
        <x:v>South</x:v>
      </x:c>
      <x:c r="D64" t="str">
        <x:v>Jason</x:v>
      </x:c>
      <x:c r="E64" t="str">
        <x:v>P003</x:v>
      </x:c>
      <x:c r="F64" t="str">
        <x:v>ErgoStand S2</x:v>
      </x:c>
      <x:c r="G64" t="str">
        <x:v>Office</x:v>
      </x:c>
      <x:c r="H64" s="12" t="n">
        <x:v>159</x:v>
      </x:c>
      <x:c r="I64" t="n">
        <x:v>4</x:v>
      </x:c>
      <x:c r="J64" s="14" t="n">
        <x:v>0.1</x:v>
      </x:c>
      <x:c r="K64" s="12" t="n">
        <x:f>H64*I64*(1-J64)</x:f>
        <x:v>572.4</x:v>
      </x:c>
      <x:c r="L64" s="12" t="n">
        <x:v>78</x:v>
      </x:c>
      <x:c r="M64" s="12" t="n">
        <x:f>K64-L64*I64</x:f>
        <x:v>260.4</x:v>
      </x:c>
      <x:c r="N64" t="str">
        <x:v>Existing</x:v>
      </x:c>
      <x:c r="O64" t="str">
        <x:v>Direct Sales</x:v>
      </x:c>
      <x:c r="P64" t="str">
        <x:v>No</x:v>
      </x:c>
      <x:c r="Q64" s="16" t="str"/>
    </x:row>
    <x:row r="65">
      <x:c r="A65" t="str">
        <x:v>ORD-0064</x:v>
      </x:c>
      <x:c r="B65" s="10" t="n">
        <x:v>46178</x:v>
      </x:c>
      <x:c r="C65" t="str">
        <x:v>East</x:v>
      </x:c>
      <x:c r="D65" t="str">
        <x:v>Alice</x:v>
      </x:c>
      <x:c r="E65" t="str">
        <x:v>P003</x:v>
      </x:c>
      <x:c r="F65" t="str">
        <x:v>ErgoStand S2</x:v>
      </x:c>
      <x:c r="G65" t="str">
        <x:v>Office</x:v>
      </x:c>
      <x:c r="H65" s="12" t="n">
        <x:v>159</x:v>
      </x:c>
      <x:c r="I65" t="n">
        <x:v>10</x:v>
      </x:c>
      <x:c r="J65" s="14" t="n">
        <x:v>0</x:v>
      </x:c>
      <x:c r="K65" s="12" t="n">
        <x:f>H65*I65*(1-J65)</x:f>
        <x:v>1590</x:v>
      </x:c>
      <x:c r="L65" s="12" t="n">
        <x:v>78</x:v>
      </x:c>
      <x:c r="M65" s="12" t="n">
        <x:f>K65-L65*I65</x:f>
        <x:v>810</x:v>
      </x:c>
      <x:c r="N65" t="str">
        <x:v>Enterprise</x:v>
      </x:c>
      <x:c r="O65" t="str">
        <x:v>Distributor</x:v>
      </x:c>
      <x:c r="P65" t="str">
        <x:v>No</x:v>
      </x:c>
      <x:c r="Q65" s="16" t="str"/>
    </x:row>
    <x:row r="66">
      <x:c r="A66" t="str">
        <x:v>ORD-0065</x:v>
      </x:c>
      <x:c r="B66" s="10" t="n">
        <x:v>46124</x:v>
      </x:c>
      <x:c r="C66" t="str">
        <x:v>South</x:v>
      </x:c>
      <x:c r="D66" t="str">
        <x:v>Mia</x:v>
      </x:c>
      <x:c r="E66" t="str">
        <x:v>P007</x:v>
      </x:c>
      <x:c r="F66" t="str">
        <x:v>CableKit Max</x:v>
      </x:c>
      <x:c r="G66" t="str">
        <x:v>Accessories</x:v>
      </x:c>
      <x:c r="H66" s="12" t="n">
        <x:v>79</x:v>
      </x:c>
      <x:c r="I66" t="n">
        <x:v>8</x:v>
      </x:c>
      <x:c r="J66" s="14" t="n">
        <x:v>0</x:v>
      </x:c>
      <x:c r="K66" s="12" t="n">
        <x:f>H66*I66*(1-J66)</x:f>
        <x:v>632</x:v>
      </x:c>
      <x:c r="L66" s="12" t="n">
        <x:v>28</x:v>
      </x:c>
      <x:c r="M66" s="12" t="n">
        <x:f>K66-L66*I66</x:f>
        <x:v>408</x:v>
      </x:c>
      <x:c r="N66" t="str">
        <x:v>Enterprise</x:v>
      </x:c>
      <x:c r="O66" t="str">
        <x:v>Distributor</x:v>
      </x:c>
      <x:c r="P66" t="str">
        <x:v>No</x:v>
      </x:c>
      <x:c r="Q66" s="16" t="str"/>
    </x:row>
    <x:row r="67">
      <x:c r="A67" t="str">
        <x:v>ORD-0066</x:v>
      </x:c>
      <x:c r="B67" s="10" t="n">
        <x:v>46167</x:v>
      </x:c>
      <x:c r="C67" t="str">
        <x:v>East</x:v>
      </x:c>
      <x:c r="D67" t="str">
        <x:v>Kevin</x:v>
      </x:c>
      <x:c r="E67" t="str">
        <x:v>P002</x:v>
      </x:c>
      <x:c r="F67" t="str">
        <x:v>DeskHub 8-in-1</x:v>
      </x:c>
      <x:c r="G67" t="str">
        <x:v>Electronics</x:v>
      </x:c>
      <x:c r="H67" s="12" t="n">
        <x:v>219</x:v>
      </x:c>
      <x:c r="I67" t="n">
        <x:v>18</x:v>
      </x:c>
      <x:c r="J67" s="14" t="n">
        <x:v>0.08</x:v>
      </x:c>
      <x:c r="K67" s="12" t="n">
        <x:f>H67*I67*(1-J67)</x:f>
        <x:v>3626.6400000000003</x:v>
      </x:c>
      <x:c r="L67" s="12" t="n">
        <x:v>121</x:v>
      </x:c>
      <x:c r="M67" s="12" t="n">
        <x:f>K67-L67*I67</x:f>
        <x:v>1448.6400000000003</x:v>
      </x:c>
      <x:c r="N67" t="str">
        <x:v>Enterprise</x:v>
      </x:c>
      <x:c r="O67" t="str">
        <x:v>Direct Sales</x:v>
      </x:c>
      <x:c r="P67" t="str">
        <x:v>No</x:v>
      </x:c>
      <x:c r="Q67" s="16" t="str"/>
    </x:row>
    <x:row r="68">
      <x:c r="A68" t="str">
        <x:v>ORD-0067</x:v>
      </x:c>
      <x:c r="B68" s="10" t="n">
        <x:v>46130</x:v>
      </x:c>
      <x:c r="C68" t="str">
        <x:v>West</x:v>
      </x:c>
      <x:c r="D68" t="str">
        <x:v>Nina</x:v>
      </x:c>
      <x:c r="E68" t="str">
        <x:v>P001</x:v>
      </x:c>
      <x:c r="F68" t="str">
        <x:v>AirMouse Pro</x:v>
      </x:c>
      <x:c r="G68" t="str">
        <x:v>Electronics</x:v>
      </x:c>
      <x:c r="H68" s="12" t="n">
        <x:v>299</x:v>
      </x:c>
      <x:c r="I68" t="n">
        <x:v>14</x:v>
      </x:c>
      <x:c r="J68" s="14" t="n">
        <x:v>0.05</x:v>
      </x:c>
      <x:c r="K68" s="12" t="n">
        <x:f>H68*I68*(1-J68)</x:f>
        <x:v>3976.7</x:v>
      </x:c>
      <x:c r="L68" s="12" t="n">
        <x:v>168</x:v>
      </x:c>
      <x:c r="M68" s="12" t="n">
        <x:f>K68-L68*I68</x:f>
        <x:v>1624.6999999999998</x:v>
      </x:c>
      <x:c r="N68" t="str">
        <x:v>Enterprise</x:v>
      </x:c>
      <x:c r="O68" t="str">
        <x:v>Online</x:v>
      </x:c>
      <x:c r="P68" t="str">
        <x:v>No</x:v>
      </x:c>
      <x:c r="Q68" s="16" t="str"/>
    </x:row>
    <x:row r="69">
      <x:c r="A69" t="str">
        <x:v>ORD-0068</x:v>
      </x:c>
      <x:c r="B69" s="10" t="n">
        <x:v>46068</x:v>
      </x:c>
      <x:c r="C69" t="str">
        <x:v>North</x:v>
      </x:c>
      <x:c r="D69" t="str">
        <x:v>Emma</x:v>
      </x:c>
      <x:c r="E69" t="str">
        <x:v>P007</x:v>
      </x:c>
      <x:c r="F69" t="str">
        <x:v>CableKit Max</x:v>
      </x:c>
      <x:c r="G69" t="str">
        <x:v>Accessories</x:v>
      </x:c>
      <x:c r="H69" s="12" t="n">
        <x:v>79</x:v>
      </x:c>
      <x:c r="I69" t="n">
        <x:v>15</x:v>
      </x:c>
      <x:c r="J69" s="14" t="n">
        <x:v>0.08</x:v>
      </x:c>
      <x:c r="K69" s="12" t="n">
        <x:f>H69*I69*(1-J69)</x:f>
        <x:v>1090.2</x:v>
      </x:c>
      <x:c r="L69" s="12" t="n">
        <x:v>28</x:v>
      </x:c>
      <x:c r="M69" s="12" t="n">
        <x:f>K69-L69*I69</x:f>
        <x:v>670.2</x:v>
      </x:c>
      <x:c r="N69" t="str">
        <x:v>Existing</x:v>
      </x:c>
      <x:c r="O69" t="str">
        <x:v>Online</x:v>
      </x:c>
      <x:c r="P69" t="str">
        <x:v>No</x:v>
      </x:c>
      <x:c r="Q69" s="16" t="str"/>
    </x:row>
    <x:row r="70">
      <x:c r="A70" t="str">
        <x:v>ORD-0069</x:v>
      </x:c>
      <x:c r="B70" s="10" t="n">
        <x:v>46094</x:v>
      </x:c>
      <x:c r="C70" t="str">
        <x:v>West</x:v>
      </x:c>
      <x:c r="D70" t="str">
        <x:v>Nina</x:v>
      </x:c>
      <x:c r="E70" t="str">
        <x:v>P002</x:v>
      </x:c>
      <x:c r="F70" t="str">
        <x:v>DeskHub 8-in-1</x:v>
      </x:c>
      <x:c r="G70" t="str">
        <x:v>Electronics</x:v>
      </x:c>
      <x:c r="H70" s="12" t="n">
        <x:v>219</x:v>
      </x:c>
      <x:c r="I70" t="n">
        <x:v>15</x:v>
      </x:c>
      <x:c r="J70" s="14" t="n">
        <x:v>0.1</x:v>
      </x:c>
      <x:c r="K70" s="12" t="n">
        <x:f>H70*I70*(1-J70)</x:f>
        <x:v>2956.5</x:v>
      </x:c>
      <x:c r="L70" s="12" t="n">
        <x:v>121</x:v>
      </x:c>
      <x:c r="M70" s="12" t="n">
        <x:f>K70-L70*I70</x:f>
        <x:v>1141.5</x:v>
      </x:c>
      <x:c r="N70" t="str">
        <x:v>New</x:v>
      </x:c>
      <x:c r="O70" t="str">
        <x:v>Direct Sales</x:v>
      </x:c>
      <x:c r="P70" t="str">
        <x:v>No</x:v>
      </x:c>
      <x:c r="Q70" s="16" t="str"/>
    </x:row>
    <x:row r="71">
      <x:c r="A71" t="str">
        <x:v>ORD-0070</x:v>
      </x:c>
      <x:c r="B71" s="10" t="n">
        <x:v>46069</x:v>
      </x:c>
      <x:c r="C71" t="str">
        <x:v>West</x:v>
      </x:c>
      <x:c r="D71" t="str">
        <x:v>Nina</x:v>
      </x:c>
      <x:c r="E71" t="str">
        <x:v>P006</x:v>
      </x:c>
      <x:c r="F71" t="str">
        <x:v>TravelDock Lite</x:v>
      </x:c>
      <x:c r="G71" t="str">
        <x:v>Electronics</x:v>
      </x:c>
      <x:c r="H71" s="12" t="n">
        <x:v>129</x:v>
      </x:c>
      <x:c r="I71" t="n">
        <x:v>12</x:v>
      </x:c>
      <x:c r="J71" s="14" t="n">
        <x:v>0.05</x:v>
      </x:c>
      <x:c r="K71" s="12" t="n">
        <x:f>H71*I71*(1-J71)</x:f>
        <x:v>1470.6</x:v>
      </x:c>
      <x:c r="L71" s="12" t="n">
        <x:v>67</x:v>
      </x:c>
      <x:c r="M71" s="12" t="n">
        <x:f>K71-L71*I71</x:f>
        <x:v>666.5999999999999</x:v>
      </x:c>
      <x:c r="N71" t="str">
        <x:v>Enterprise</x:v>
      </x:c>
      <x:c r="O71" t="str">
        <x:v>Direct Sales</x:v>
      </x:c>
      <x:c r="P71" t="str">
        <x:v>No</x:v>
      </x:c>
      <x:c r="Q71" s="16" t="str"/>
    </x:row>
    <x:row r="72">
      <x:c r="A72" t="str">
        <x:v>ORD-0071</x:v>
      </x:c>
      <x:c r="B72" s="10" t="n">
        <x:v>46155</x:v>
      </x:c>
      <x:c r="C72" t="str">
        <x:v>South</x:v>
      </x:c>
      <x:c r="D72" t="str">
        <x:v>Mia</x:v>
      </x:c>
      <x:c r="E72" t="str">
        <x:v>P001</x:v>
      </x:c>
      <x:c r="F72" t="str">
        <x:v>AirMouse Pro</x:v>
      </x:c>
      <x:c r="G72" t="str">
        <x:v>Electronics</x:v>
      </x:c>
      <x:c r="H72" s="12" t="n">
        <x:v>299</x:v>
      </x:c>
      <x:c r="I72" t="n">
        <x:v>8</x:v>
      </x:c>
      <x:c r="J72" s="14" t="n">
        <x:v>0.15</x:v>
      </x:c>
      <x:c r="K72" s="12" t="n">
        <x:f>H72*I72*(1-J72)</x:f>
        <x:v>2033.2</x:v>
      </x:c>
      <x:c r="L72" s="12" t="n">
        <x:v>168</x:v>
      </x:c>
      <x:c r="M72" s="12" t="n">
        <x:f>K72-L72*I72</x:f>
        <x:v>689.2</x:v>
      </x:c>
      <x:c r="N72" t="str">
        <x:v>New</x:v>
      </x:c>
      <x:c r="O72" t="str">
        <x:v>Distributor</x:v>
      </x:c>
      <x:c r="P72" t="str">
        <x:v>No</x:v>
      </x:c>
      <x:c r="Q72" s="16" t="str"/>
    </x:row>
    <x:row r="73">
      <x:c r="A73" t="str">
        <x:v>ORD-0072</x:v>
      </x:c>
      <x:c r="B73" s="10" t="n">
        <x:v>46188</x:v>
      </x:c>
      <x:c r="C73" t="str">
        <x:v>West</x:v>
      </x:c>
      <x:c r="D73" t="str">
        <x:v>Ryan</x:v>
      </x:c>
      <x:c r="E73" t="str">
        <x:v>P008</x:v>
      </x:c>
      <x:c r="F73" t="str">
        <x:v>MonitorArm X</x:v>
      </x:c>
      <x:c r="G73" t="str">
        <x:v>Office</x:v>
      </x:c>
      <x:c r="H73" s="12" t="n">
        <x:v>269</x:v>
      </x:c>
      <x:c r="I73" t="n">
        <x:v>1</x:v>
      </x:c>
      <x:c r="J73" s="14" t="n">
        <x:v>0</x:v>
      </x:c>
      <x:c r="K73" s="12" t="n">
        <x:f>H73*I73*(1-J73)</x:f>
        <x:v>269</x:v>
      </x:c>
      <x:c r="L73" s="12" t="n">
        <x:v>145</x:v>
      </x:c>
      <x:c r="M73" s="12" t="n">
        <x:f>K73-L73*I73</x:f>
        <x:v>124</x:v>
      </x:c>
      <x:c r="N73" t="str">
        <x:v>New</x:v>
      </x:c>
      <x:c r="O73" t="str">
        <x:v>Direct Sales</x:v>
      </x:c>
      <x:c r="P73" t="str">
        <x:v>No</x:v>
      </x:c>
      <x:c r="Q73" s="16" t="str"/>
    </x:row>
    <x:row r="74">
      <x:c r="A74" t="str">
        <x:v>ORD-0073</x:v>
      </x:c>
      <x:c r="B74" s="10" t="n">
        <x:v>46144</x:v>
      </x:c>
      <x:c r="C74" t="str">
        <x:v>North</x:v>
      </x:c>
      <x:c r="D74" t="str">
        <x:v>Emma</x:v>
      </x:c>
      <x:c r="E74" t="str">
        <x:v>P006</x:v>
      </x:c>
      <x:c r="F74" t="str">
        <x:v>TravelDock Lite</x:v>
      </x:c>
      <x:c r="G74" t="str">
        <x:v>Electronics</x:v>
      </x:c>
      <x:c r="H74" s="12" t="n">
        <x:v>129</x:v>
      </x:c>
      <x:c r="I74" t="n">
        <x:v>18</x:v>
      </x:c>
      <x:c r="J74" s="14" t="n">
        <x:v>0.05</x:v>
      </x:c>
      <x:c r="K74" s="12" t="n">
        <x:f>H74*I74*(1-J74)</x:f>
        <x:v>2205.9</x:v>
      </x:c>
      <x:c r="L74" s="12" t="n">
        <x:v>67</x:v>
      </x:c>
      <x:c r="M74" s="12" t="n">
        <x:f>K74-L74*I74</x:f>
        <x:v>999.9000000000001</x:v>
      </x:c>
      <x:c r="N74" t="str">
        <x:v>Existing</x:v>
      </x:c>
      <x:c r="O74" t="str">
        <x:v>Direct Sales</x:v>
      </x:c>
      <x:c r="P74" t="str">
        <x:v>No</x:v>
      </x:c>
      <x:c r="Q74" s="16" t="str"/>
    </x:row>
    <x:row r="75">
      <x:c r="A75" t="str">
        <x:v>ORD-0074</x:v>
      </x:c>
      <x:c r="B75" s="10" t="n">
        <x:v>46053</x:v>
      </x:c>
      <x:c r="C75" t="str">
        <x:v>South</x:v>
      </x:c>
      <x:c r="D75" t="str">
        <x:v>Jason</x:v>
      </x:c>
      <x:c r="E75" t="str">
        <x:v>P004</x:v>
      </x:c>
      <x:c r="F75" t="str">
        <x:v>CloudKeyboard Mini</x:v>
      </x:c>
      <x:c r="G75" t="str">
        <x:v>Electronics</x:v>
      </x:c>
      <x:c r="H75" s="12" t="n">
        <x:v>399</x:v>
      </x:c>
      <x:c r="I75" t="n">
        <x:v>4</x:v>
      </x:c>
      <x:c r="J75" s="14" t="n">
        <x:v>0.15</x:v>
      </x:c>
      <x:c r="K75" s="12" t="n">
        <x:f>H75*I75*(1-J75)</x:f>
        <x:v>1356.6</x:v>
      </x:c>
      <x:c r="L75" s="12" t="n">
        <x:v>230</x:v>
      </x:c>
      <x:c r="M75" s="12" t="n">
        <x:f>K75-L75*I75</x:f>
        <x:v>436.5999999999999</x:v>
      </x:c>
      <x:c r="N75" t="str">
        <x:v>New</x:v>
      </x:c>
      <x:c r="O75" t="str">
        <x:v>Online</x:v>
      </x:c>
      <x:c r="P75" t="str">
        <x:v>No</x:v>
      </x:c>
      <x:c r="Q75" s="16" t="str"/>
    </x:row>
    <x:row r="76">
      <x:c r="A76" t="str">
        <x:v>ORD-0075</x:v>
      </x:c>
      <x:c r="B76" s="10" t="n">
        <x:v>46146</x:v>
      </x:c>
      <x:c r="C76" t="str">
        <x:v>North</x:v>
      </x:c>
      <x:c r="D76" t="str">
        <x:v>Emma</x:v>
      </x:c>
      <x:c r="E76" t="str">
        <x:v>P004</x:v>
      </x:c>
      <x:c r="F76" t="str">
        <x:v>CloudKeyboard Mini</x:v>
      </x:c>
      <x:c r="G76" t="str">
        <x:v>Electronics</x:v>
      </x:c>
      <x:c r="H76" s="12" t="n">
        <x:v>399</x:v>
      </x:c>
      <x:c r="I76" t="n">
        <x:v>4</x:v>
      </x:c>
      <x:c r="J76" s="14" t="n">
        <x:v>0</x:v>
      </x:c>
      <x:c r="K76" s="12" t="n">
        <x:f>H76*I76*(1-J76)</x:f>
        <x:v>1596</x:v>
      </x:c>
      <x:c r="L76" s="12" t="n">
        <x:v>230</x:v>
      </x:c>
      <x:c r="M76" s="12" t="n">
        <x:f>K76-L76*I76</x:f>
        <x:v>676</x:v>
      </x:c>
      <x:c r="N76" t="str">
        <x:v>Existing</x:v>
      </x:c>
      <x:c r="O76" t="str">
        <x:v>Online</x:v>
      </x:c>
      <x:c r="P76" t="str">
        <x:v>No</x:v>
      </x:c>
      <x:c r="Q76" s="16" t="str"/>
    </x:row>
    <x:row r="77">
      <x:c r="A77" t="str">
        <x:v>ORD-0076</x:v>
      </x:c>
      <x:c r="B77" s="10" t="n">
        <x:v>46093</x:v>
      </x:c>
      <x:c r="C77" t="str">
        <x:v>East</x:v>
      </x:c>
      <x:c r="D77" t="str">
        <x:v>Alice</x:v>
      </x:c>
      <x:c r="E77" t="str">
        <x:v>P003</x:v>
      </x:c>
      <x:c r="F77" t="str">
        <x:v>ErgoStand S2</x:v>
      </x:c>
      <x:c r="G77" t="str">
        <x:v>Office</x:v>
      </x:c>
      <x:c r="H77" s="12" t="n">
        <x:v>159</x:v>
      </x:c>
      <x:c r="I77" t="n">
        <x:v>18</x:v>
      </x:c>
      <x:c r="J77" s="14" t="n">
        <x:v>0.05</x:v>
      </x:c>
      <x:c r="K77" s="12" t="n">
        <x:f>H77*I77*(1-J77)</x:f>
        <x:v>2718.9</x:v>
      </x:c>
      <x:c r="L77" s="12" t="n">
        <x:v>78</x:v>
      </x:c>
      <x:c r="M77" s="12" t="n">
        <x:f>K77-L77*I77</x:f>
        <x:v>1314.9</x:v>
      </x:c>
      <x:c r="N77" t="str">
        <x:v>Existing</x:v>
      </x:c>
      <x:c r="O77" t="str">
        <x:v>Online</x:v>
      </x:c>
      <x:c r="P77" t="str">
        <x:v>No</x:v>
      </x:c>
      <x:c r="Q77" s="16" t="str"/>
    </x:row>
    <x:row r="78">
      <x:c r="A78" t="str">
        <x:v>ORD-0077</x:v>
      </x:c>
      <x:c r="B78" s="10" t="n">
        <x:v>46169</x:v>
      </x:c>
      <x:c r="C78" t="str">
        <x:v>North</x:v>
      </x:c>
      <x:c r="D78" t="str">
        <x:v>Emma</x:v>
      </x:c>
      <x:c r="E78" t="str">
        <x:v>P001</x:v>
      </x:c>
      <x:c r="F78" t="str">
        <x:v>AirMouse Pro</x:v>
      </x:c>
      <x:c r="G78" t="str">
        <x:v>Electronics</x:v>
      </x:c>
      <x:c r="H78" s="12" t="n">
        <x:v>299</x:v>
      </x:c>
      <x:c r="I78" t="n">
        <x:v>16</x:v>
      </x:c>
      <x:c r="J78" s="14" t="n">
        <x:v>0.08</x:v>
      </x:c>
      <x:c r="K78" s="12" t="n">
        <x:f>H78*I78*(1-J78)</x:f>
        <x:v>4401.28</x:v>
      </x:c>
      <x:c r="L78" s="12" t="n">
        <x:v>168</x:v>
      </x:c>
      <x:c r="M78" s="12" t="n">
        <x:f>K78-L78*I78</x:f>
        <x:v>1713.2799999999997</x:v>
      </x:c>
      <x:c r="N78" t="str">
        <x:v>Existing</x:v>
      </x:c>
      <x:c r="O78" t="str">
        <x:v>Direct Sales</x:v>
      </x:c>
      <x:c r="P78" t="str">
        <x:v>No</x:v>
      </x:c>
      <x:c r="Q78" s="16" t="str"/>
    </x:row>
    <x:row r="79">
      <x:c r="A79" t="str">
        <x:v>ORD-0078</x:v>
      </x:c>
      <x:c r="B79" s="10" t="n">
        <x:v>46039</x:v>
      </x:c>
      <x:c r="C79" t="str">
        <x:v>West</x:v>
      </x:c>
      <x:c r="D79" t="str">
        <x:v>Ryan</x:v>
      </x:c>
      <x:c r="E79" t="str">
        <x:v>P002</x:v>
      </x:c>
      <x:c r="F79" t="str">
        <x:v>DeskHub 8-in-1</x:v>
      </x:c>
      <x:c r="G79" t="str">
        <x:v>Electronics</x:v>
      </x:c>
      <x:c r="H79" s="12" t="n">
        <x:v>219</x:v>
      </x:c>
      <x:c r="I79" t="n">
        <x:v>3</x:v>
      </x:c>
      <x:c r="J79" s="14" t="n">
        <x:v>0.1</x:v>
      </x:c>
      <x:c r="K79" s="12" t="n">
        <x:f>H79*I79*(1-J79)</x:f>
        <x:v>591.3000000000001</x:v>
      </x:c>
      <x:c r="L79" s="12" t="n">
        <x:v>121</x:v>
      </x:c>
      <x:c r="M79" s="12" t="n">
        <x:f>K79-L79*I79</x:f>
        <x:v>228.30000000000007</x:v>
      </x:c>
      <x:c r="N79" t="str">
        <x:v>New</x:v>
      </x:c>
      <x:c r="O79" t="str">
        <x:v>Distributor</x:v>
      </x:c>
      <x:c r="P79" t="str">
        <x:v>No</x:v>
      </x:c>
      <x:c r="Q79" s="16" t="str"/>
    </x:row>
    <x:row r="80">
      <x:c r="A80" t="str">
        <x:v>ORD-0079</x:v>
      </x:c>
      <x:c r="B80" s="10" t="n">
        <x:v>46044</x:v>
      </x:c>
      <x:c r="C80" t="str">
        <x:v>South</x:v>
      </x:c>
      <x:c r="D80" t="str">
        <x:v>Mia</x:v>
      </x:c>
      <x:c r="E80" t="str">
        <x:v>P005</x:v>
      </x:c>
      <x:c r="F80" t="str">
        <x:v>FocusLamp</x:v>
      </x:c>
      <x:c r="G80" t="str">
        <x:v>Office</x:v>
      </x:c>
      <x:c r="H80" s="12" t="n">
        <x:v>189</x:v>
      </x:c>
      <x:c r="I80" t="n">
        <x:v>18</x:v>
      </x:c>
      <x:c r="J80" s="14" t="n">
        <x:v>0.08</x:v>
      </x:c>
      <x:c r="K80" s="12" t="n">
        <x:f>H80*I80*(1-J80)</x:f>
        <x:v>3129.84</x:v>
      </x:c>
      <x:c r="L80" s="12" t="n">
        <x:v>91</x:v>
      </x:c>
      <x:c r="M80" s="12" t="n">
        <x:f>K80-L80*I80</x:f>
        <x:v>1491.8400000000001</x:v>
      </x:c>
      <x:c r="N80" t="str">
        <x:v>New</x:v>
      </x:c>
      <x:c r="O80" t="str">
        <x:v>Distributor</x:v>
      </x:c>
      <x:c r="P80" t="str">
        <x:v>No</x:v>
      </x:c>
      <x:c r="Q80" s="16" t="str"/>
    </x:row>
    <x:row r="81">
      <x:c r="A81" t="str">
        <x:v>ORD-0080</x:v>
      </x:c>
      <x:c r="B81" s="10" t="n">
        <x:v>46138</x:v>
      </x:c>
      <x:c r="C81" t="str">
        <x:v>West</x:v>
      </x:c>
      <x:c r="D81" t="str">
        <x:v>Ryan</x:v>
      </x:c>
      <x:c r="E81" t="str">
        <x:v>P007</x:v>
      </x:c>
      <x:c r="F81" t="str">
        <x:v>CableKit Max</x:v>
      </x:c>
      <x:c r="G81" t="str">
        <x:v>Accessories</x:v>
      </x:c>
      <x:c r="H81" s="12" t="n">
        <x:v>79</x:v>
      </x:c>
      <x:c r="I81" t="n">
        <x:v>14</x:v>
      </x:c>
      <x:c r="J81" s="14" t="n">
        <x:v>0.05</x:v>
      </x:c>
      <x:c r="K81" s="12" t="n">
        <x:f>H81*I81*(1-J81)</x:f>
        <x:v>1050.7</x:v>
      </x:c>
      <x:c r="L81" s="12" t="n">
        <x:v>28</x:v>
      </x:c>
      <x:c r="M81" s="12" t="n">
        <x:f>K81-L81*I81</x:f>
        <x:v>658.7</x:v>
      </x:c>
      <x:c r="N81" t="str">
        <x:v>Enterprise</x:v>
      </x:c>
      <x:c r="O81" t="str">
        <x:v>Online</x:v>
      </x:c>
      <x:c r="P81" t="str">
        <x:v>No</x:v>
      </x:c>
      <x:c r="Q81" s="16" t="str"/>
    </x:row>
    <x:row r="82">
      <x:c r="A82" t="str">
        <x:v>ORD-0081</x:v>
      </x:c>
      <x:c r="B82" s="10" t="n">
        <x:v>46183</x:v>
      </x:c>
      <x:c r="C82" t="str">
        <x:v>South</x:v>
      </x:c>
      <x:c r="D82" t="str">
        <x:v>Jason</x:v>
      </x:c>
      <x:c r="E82" t="str">
        <x:v>P004</x:v>
      </x:c>
      <x:c r="F82" t="str">
        <x:v>CloudKeyboard Mini</x:v>
      </x:c>
      <x:c r="G82" t="str">
        <x:v>Electronics</x:v>
      </x:c>
      <x:c r="H82" s="12" t="n">
        <x:v>399</x:v>
      </x:c>
      <x:c r="I82" t="n">
        <x:v>3</x:v>
      </x:c>
      <x:c r="J82" s="14" t="n">
        <x:v>0</x:v>
      </x:c>
      <x:c r="K82" s="12" t="n">
        <x:f>H82*I82*(1-J82)</x:f>
        <x:v>1197</x:v>
      </x:c>
      <x:c r="L82" s="12" t="n">
        <x:v>230</x:v>
      </x:c>
      <x:c r="M82" s="12" t="n">
        <x:f>K82-L82*I82</x:f>
        <x:v>507</x:v>
      </x:c>
      <x:c r="N82" t="str">
        <x:v>New</x:v>
      </x:c>
      <x:c r="O82" t="str">
        <x:v>Online</x:v>
      </x:c>
      <x:c r="P82" t="str">
        <x:v>No</x:v>
      </x:c>
      <x:c r="Q82" s="16" t="str"/>
    </x:row>
    <x:row r="83">
      <x:c r="A83" t="str">
        <x:v>ORD-0082</x:v>
      </x:c>
      <x:c r="B83" s="10" t="n">
        <x:v>46138</x:v>
      </x:c>
      <x:c r="C83" t="str">
        <x:v>West</x:v>
      </x:c>
      <x:c r="D83" t="str">
        <x:v>Ryan</x:v>
      </x:c>
      <x:c r="E83" t="str">
        <x:v>P007</x:v>
      </x:c>
      <x:c r="F83" t="str">
        <x:v>CableKit Max</x:v>
      </x:c>
      <x:c r="G83" t="str">
        <x:v>Accessories</x:v>
      </x:c>
      <x:c r="H83" s="12" t="n">
        <x:v>79</x:v>
      </x:c>
      <x:c r="I83" t="n">
        <x:v>2</x:v>
      </x:c>
      <x:c r="J83" s="14" t="n">
        <x:v>0</x:v>
      </x:c>
      <x:c r="K83" s="12" t="n">
        <x:f>H83*I83*(1-J83)</x:f>
        <x:v>158</x:v>
      </x:c>
      <x:c r="L83" s="12" t="n">
        <x:v>28</x:v>
      </x:c>
      <x:c r="M83" s="12" t="n">
        <x:f>K83-L83*I83</x:f>
        <x:v>102</x:v>
      </x:c>
      <x:c r="N83" t="str">
        <x:v>Existing</x:v>
      </x:c>
      <x:c r="O83" t="str">
        <x:v>Online</x:v>
      </x:c>
      <x:c r="P83" t="str">
        <x:v>No</x:v>
      </x:c>
      <x:c r="Q83" s="16" t="str"/>
    </x:row>
    <x:row r="84">
      <x:c r="A84" t="str">
        <x:v>ORD-0083</x:v>
      </x:c>
      <x:c r="B84" s="10" t="n">
        <x:v>46090</x:v>
      </x:c>
      <x:c r="C84" t="str">
        <x:v>South</x:v>
      </x:c>
      <x:c r="D84" t="str">
        <x:v>Jason</x:v>
      </x:c>
      <x:c r="E84" t="str">
        <x:v>P004</x:v>
      </x:c>
      <x:c r="F84" t="str">
        <x:v>CloudKeyboard Mini</x:v>
      </x:c>
      <x:c r="G84" t="str">
        <x:v>Electronics</x:v>
      </x:c>
      <x:c r="H84" s="12" t="n">
        <x:v>399</x:v>
      </x:c>
      <x:c r="I84" t="n">
        <x:v>4</x:v>
      </x:c>
      <x:c r="J84" s="14" t="n">
        <x:v>0.1</x:v>
      </x:c>
      <x:c r="K84" s="12" t="n">
        <x:f>H84*I84*(1-J84)</x:f>
        <x:v>1436.4</x:v>
      </x:c>
      <x:c r="L84" s="12" t="n">
        <x:v>230</x:v>
      </x:c>
      <x:c r="M84" s="12" t="n">
        <x:f>K84-L84*I84</x:f>
        <x:v>516.4000000000001</x:v>
      </x:c>
      <x:c r="N84" t="str">
        <x:v>Existing</x:v>
      </x:c>
      <x:c r="O84" t="str">
        <x:v>Online</x:v>
      </x:c>
      <x:c r="P84" t="str">
        <x:v>No</x:v>
      </x:c>
      <x:c r="Q84" s="16" t="str"/>
    </x:row>
    <x:row r="85">
      <x:c r="A85" t="str">
        <x:v>ORD-0084</x:v>
      </x:c>
      <x:c r="B85" s="10" t="n">
        <x:v>46038</x:v>
      </x:c>
      <x:c r="C85" t="str">
        <x:v>South</x:v>
      </x:c>
      <x:c r="D85" t="str">
        <x:v>Jason</x:v>
      </x:c>
      <x:c r="E85" t="str">
        <x:v>P002</x:v>
      </x:c>
      <x:c r="F85" t="str">
        <x:v>DeskHub 8-in-1</x:v>
      </x:c>
      <x:c r="G85" t="str">
        <x:v>Electronics</x:v>
      </x:c>
      <x:c r="H85" s="12" t="n">
        <x:v>219</x:v>
      </x:c>
      <x:c r="I85" t="n">
        <x:v>10</x:v>
      </x:c>
      <x:c r="J85" s="14" t="n">
        <x:v>0.08</x:v>
      </x:c>
      <x:c r="K85" s="12" t="n">
        <x:f>H85*I85*(1-J85)</x:f>
        <x:v>2014.8000000000002</x:v>
      </x:c>
      <x:c r="L85" s="12" t="n">
        <x:v>121</x:v>
      </x:c>
      <x:c r="M85" s="12" t="n">
        <x:f>K85-L85*I85</x:f>
        <x:v>804.8000000000002</x:v>
      </x:c>
      <x:c r="N85" t="str">
        <x:v>Enterprise</x:v>
      </x:c>
      <x:c r="O85" t="str">
        <x:v>Direct Sales</x:v>
      </x:c>
      <x:c r="P85" t="str">
        <x:v>No</x:v>
      </x:c>
      <x:c r="Q85" s="16" t="str"/>
    </x:row>
    <x:row r="86">
      <x:c r="A86" t="str">
        <x:v>ORD-0085</x:v>
      </x:c>
      <x:c r="B86" s="10" t="n">
        <x:v>46151</x:v>
      </x:c>
      <x:c r="C86" t="str">
        <x:v>West</x:v>
      </x:c>
      <x:c r="D86" t="str">
        <x:v>Ryan</x:v>
      </x:c>
      <x:c r="E86" t="str">
        <x:v>P005</x:v>
      </x:c>
      <x:c r="F86" t="str">
        <x:v>FocusLamp</x:v>
      </x:c>
      <x:c r="G86" t="str">
        <x:v>Office</x:v>
      </x:c>
      <x:c r="H86" s="12" t="n">
        <x:v>189</x:v>
      </x:c>
      <x:c r="I86" t="n">
        <x:v>3</x:v>
      </x:c>
      <x:c r="J86" s="14" t="n">
        <x:v>0.1</x:v>
      </x:c>
      <x:c r="K86" s="12" t="n">
        <x:f>H86*I86*(1-J86)</x:f>
        <x:v>510.3</x:v>
      </x:c>
      <x:c r="L86" s="12" t="n">
        <x:v>91</x:v>
      </x:c>
      <x:c r="M86" s="12" t="n">
        <x:f>K86-L86*I86</x:f>
        <x:v>237.3</x:v>
      </x:c>
      <x:c r="N86" t="str">
        <x:v>Enterprise</x:v>
      </x:c>
      <x:c r="O86" t="str">
        <x:v>Direct Sales</x:v>
      </x:c>
      <x:c r="P86" t="str">
        <x:v>Yes</x:v>
      </x:c>
      <x:c r="Q86" s="16" t="str">
        <x:v>Customer changed mind</x:v>
      </x:c>
    </x:row>
    <x:row r="87">
      <x:c r="A87" t="str">
        <x:v>ORD-0086</x:v>
      </x:c>
      <x:c r="B87" s="10" t="n">
        <x:v>46029</x:v>
      </x:c>
      <x:c r="C87" t="str">
        <x:v>East</x:v>
      </x:c>
      <x:c r="D87" t="str">
        <x:v>Alice</x:v>
      </x:c>
      <x:c r="E87" t="str">
        <x:v>P005</x:v>
      </x:c>
      <x:c r="F87" t="str">
        <x:v>FocusLamp</x:v>
      </x:c>
      <x:c r="G87" t="str">
        <x:v>Office</x:v>
      </x:c>
      <x:c r="H87" s="12" t="n">
        <x:v>189</x:v>
      </x:c>
      <x:c r="I87" t="n">
        <x:v>1</x:v>
      </x:c>
      <x:c r="J87" s="14" t="n">
        <x:v>0.15</x:v>
      </x:c>
      <x:c r="K87" s="12" t="n">
        <x:f>H87*I87*(1-J87)</x:f>
        <x:v>160.65</x:v>
      </x:c>
      <x:c r="L87" s="12" t="n">
        <x:v>91</x:v>
      </x:c>
      <x:c r="M87" s="12" t="n">
        <x:f>K87-L87*I87</x:f>
        <x:v>69.65</x:v>
      </x:c>
      <x:c r="N87" t="str">
        <x:v>New</x:v>
      </x:c>
      <x:c r="O87" t="str">
        <x:v>Direct Sales</x:v>
      </x:c>
      <x:c r="P87" t="str">
        <x:v>No</x:v>
      </x:c>
      <x:c r="Q87" s="16" t="str"/>
    </x:row>
    <x:row r="88">
      <x:c r="A88" t="str">
        <x:v>ORD-0087</x:v>
      </x:c>
      <x:c r="B88" s="10" t="n">
        <x:v>46094</x:v>
      </x:c>
      <x:c r="C88" t="str">
        <x:v>South</x:v>
      </x:c>
      <x:c r="D88" t="str">
        <x:v>Jason</x:v>
      </x:c>
      <x:c r="E88" t="str">
        <x:v>P008</x:v>
      </x:c>
      <x:c r="F88" t="str">
        <x:v>MonitorArm X</x:v>
      </x:c>
      <x:c r="G88" t="str">
        <x:v>Office</x:v>
      </x:c>
      <x:c r="H88" s="12" t="n">
        <x:v>269</x:v>
      </x:c>
      <x:c r="I88" t="n">
        <x:v>16</x:v>
      </x:c>
      <x:c r="J88" s="14" t="n">
        <x:v>0</x:v>
      </x:c>
      <x:c r="K88" s="12" t="n">
        <x:f>H88*I88*(1-J88)</x:f>
        <x:v>4304</x:v>
      </x:c>
      <x:c r="L88" s="12" t="n">
        <x:v>145</x:v>
      </x:c>
      <x:c r="M88" s="12" t="n">
        <x:f>K88-L88*I88</x:f>
        <x:v>1984</x:v>
      </x:c>
      <x:c r="N88" t="str">
        <x:v>Existing</x:v>
      </x:c>
      <x:c r="O88" t="str">
        <x:v>Distributor</x:v>
      </x:c>
      <x:c r="P88" t="str">
        <x:v>No</x:v>
      </x:c>
      <x:c r="Q88" s="16" t="str"/>
    </x:row>
    <x:row r="89">
      <x:c r="A89" t="str">
        <x:v>ORD-0088</x:v>
      </x:c>
      <x:c r="B89" s="10" t="n">
        <x:v>46064</x:v>
      </x:c>
      <x:c r="C89" t="str">
        <x:v>North</x:v>
      </x:c>
      <x:c r="D89" t="str">
        <x:v>Emma</x:v>
      </x:c>
      <x:c r="E89" t="str">
        <x:v>P002</x:v>
      </x:c>
      <x:c r="F89" t="str">
        <x:v>DeskHub 8-in-1</x:v>
      </x:c>
      <x:c r="G89" t="str">
        <x:v>Electronics</x:v>
      </x:c>
      <x:c r="H89" s="12" t="n">
        <x:v>219</x:v>
      </x:c>
      <x:c r="I89" t="n">
        <x:v>16</x:v>
      </x:c>
      <x:c r="J89" s="14" t="n">
        <x:v>0.05</x:v>
      </x:c>
      <x:c r="K89" s="12" t="n">
        <x:f>H89*I89*(1-J89)</x:f>
        <x:v>3328.7999999999997</x:v>
      </x:c>
      <x:c r="L89" s="12" t="n">
        <x:v>121</x:v>
      </x:c>
      <x:c r="M89" s="12" t="n">
        <x:f>K89-L89*I89</x:f>
        <x:v>1392.7999999999997</x:v>
      </x:c>
      <x:c r="N89" t="str">
        <x:v>Enterprise</x:v>
      </x:c>
      <x:c r="O89" t="str">
        <x:v>Online</x:v>
      </x:c>
      <x:c r="P89" t="str">
        <x:v>No</x:v>
      </x:c>
      <x:c r="Q89" s="16" t="str"/>
    </x:row>
    <x:row r="90">
      <x:c r="A90" t="str">
        <x:v>ORD-0089</x:v>
      </x:c>
      <x:c r="B90" s="10" t="n">
        <x:v>46045</x:v>
      </x:c>
      <x:c r="C90" t="str">
        <x:v>North</x:v>
      </x:c>
      <x:c r="D90" t="str">
        <x:v>Emma</x:v>
      </x:c>
      <x:c r="E90" t="str">
        <x:v>P008</x:v>
      </x:c>
      <x:c r="F90" t="str">
        <x:v>MonitorArm X</x:v>
      </x:c>
      <x:c r="G90" t="str">
        <x:v>Office</x:v>
      </x:c>
      <x:c r="H90" s="12" t="n">
        <x:v>269</x:v>
      </x:c>
      <x:c r="I90" t="n">
        <x:v>11</x:v>
      </x:c>
      <x:c r="J90" s="14" t="n">
        <x:v>0</x:v>
      </x:c>
      <x:c r="K90" s="12" t="n">
        <x:f>H90*I90*(1-J90)</x:f>
        <x:v>2959</x:v>
      </x:c>
      <x:c r="L90" s="12" t="n">
        <x:v>145</x:v>
      </x:c>
      <x:c r="M90" s="12" t="n">
        <x:f>K90-L90*I90</x:f>
        <x:v>1364</x:v>
      </x:c>
      <x:c r="N90" t="str">
        <x:v>Enterprise</x:v>
      </x:c>
      <x:c r="O90" t="str">
        <x:v>Online</x:v>
      </x:c>
      <x:c r="P90" t="str">
        <x:v>No</x:v>
      </x:c>
      <x:c r="Q90" s="16" t="str"/>
    </x:row>
    <x:row r="91">
      <x:c r="A91" t="str">
        <x:v>ORD-0090</x:v>
      </x:c>
      <x:c r="B91" s="10" t="n">
        <x:v>46128</x:v>
      </x:c>
      <x:c r="C91" t="str">
        <x:v>East</x:v>
      </x:c>
      <x:c r="D91" t="str">
        <x:v>Alice</x:v>
      </x:c>
      <x:c r="E91" t="str">
        <x:v>P008</x:v>
      </x:c>
      <x:c r="F91" t="str">
        <x:v>MonitorArm X</x:v>
      </x:c>
      <x:c r="G91" t="str">
        <x:v>Office</x:v>
      </x:c>
      <x:c r="H91" s="12" t="n">
        <x:v>269</x:v>
      </x:c>
      <x:c r="I91" t="n">
        <x:v>17</x:v>
      </x:c>
      <x:c r="J91" s="14" t="n">
        <x:v>0.05</x:v>
      </x:c>
      <x:c r="K91" s="12" t="n">
        <x:f>H91*I91*(1-J91)</x:f>
        <x:v>4344.349999999999</x:v>
      </x:c>
      <x:c r="L91" s="12" t="n">
        <x:v>145</x:v>
      </x:c>
      <x:c r="M91" s="12" t="n">
        <x:f>K91-L91*I91</x:f>
        <x:v>1879.3499999999995</x:v>
      </x:c>
      <x:c r="N91" t="str">
        <x:v>Existing</x:v>
      </x:c>
      <x:c r="O91" t="str">
        <x:v>Online</x:v>
      </x:c>
      <x:c r="P91" t="str">
        <x:v>No</x:v>
      </x:c>
      <x:c r="Q91" s="16" t="str"/>
    </x:row>
    <x:row r="92">
      <x:c r="A92" t="str">
        <x:v>ORD-0091</x:v>
      </x:c>
      <x:c r="B92" s="10" t="n">
        <x:v>46091</x:v>
      </x:c>
      <x:c r="C92" t="str">
        <x:v>South</x:v>
      </x:c>
      <x:c r="D92" t="str">
        <x:v>Jason</x:v>
      </x:c>
      <x:c r="E92" t="str">
        <x:v>P004</x:v>
      </x:c>
      <x:c r="F92" t="str">
        <x:v>CloudKeyboard Mini</x:v>
      </x:c>
      <x:c r="G92" t="str">
        <x:v>Electronics</x:v>
      </x:c>
      <x:c r="H92" s="12" t="n">
        <x:v>399</x:v>
      </x:c>
      <x:c r="I92" t="n">
        <x:v>15</x:v>
      </x:c>
      <x:c r="J92" s="14" t="n">
        <x:v>0.15</x:v>
      </x:c>
      <x:c r="K92" s="12" t="n">
        <x:f>H92*I92*(1-J92)</x:f>
        <x:v>5087.25</x:v>
      </x:c>
      <x:c r="L92" s="12" t="n">
        <x:v>230</x:v>
      </x:c>
      <x:c r="M92" s="12" t="n">
        <x:f>K92-L92*I92</x:f>
        <x:v>1637.25</x:v>
      </x:c>
      <x:c r="N92" t="str">
        <x:v>Enterprise</x:v>
      </x:c>
      <x:c r="O92" t="str">
        <x:v>Distributor</x:v>
      </x:c>
      <x:c r="P92" t="str">
        <x:v>No</x:v>
      </x:c>
      <x:c r="Q92" s="16" t="str">
        <x:v>Priority customer</x:v>
      </x:c>
    </x:row>
    <x:row r="93">
      <x:c r="A93" t="str">
        <x:v>ORD-0092</x:v>
      </x:c>
      <x:c r="B93" s="10" t="n">
        <x:v>46063</x:v>
      </x:c>
      <x:c r="C93" t="str">
        <x:v>North</x:v>
      </x:c>
      <x:c r="D93" t="str">
        <x:v>Leo</x:v>
      </x:c>
      <x:c r="E93" t="str">
        <x:v>P004</x:v>
      </x:c>
      <x:c r="F93" t="str">
        <x:v>CloudKeyboard Mini</x:v>
      </x:c>
      <x:c r="G93" t="str">
        <x:v>Electronics</x:v>
      </x:c>
      <x:c r="H93" s="12" t="n">
        <x:v>399</x:v>
      </x:c>
      <x:c r="I93" t="n">
        <x:v>18</x:v>
      </x:c>
      <x:c r="J93" s="14" t="n">
        <x:v>0.08</x:v>
      </x:c>
      <x:c r="K93" s="12" t="n">
        <x:f>H93*I93*(1-J93)</x:f>
        <x:v>6607.4400000000005</x:v>
      </x:c>
      <x:c r="L93" s="12" t="n">
        <x:v>230</x:v>
      </x:c>
      <x:c r="M93" s="12" t="n">
        <x:f>K93-L93*I93</x:f>
        <x:v>2467.4400000000005</x:v>
      </x:c>
      <x:c r="N93" t="str">
        <x:v>New</x:v>
      </x:c>
      <x:c r="O93" t="str">
        <x:v>Direct Sales</x:v>
      </x:c>
      <x:c r="P93" t="str">
        <x:v>No</x:v>
      </x:c>
      <x:c r="Q93" s="16" t="str"/>
    </x:row>
    <x:row r="94">
      <x:c r="A94" t="str">
        <x:v>ORD-0093</x:v>
      </x:c>
      <x:c r="B94" s="10" t="n">
        <x:v>46188</x:v>
      </x:c>
      <x:c r="C94" t="str">
        <x:v>South</x:v>
      </x:c>
      <x:c r="D94" t="str">
        <x:v>Jason</x:v>
      </x:c>
      <x:c r="E94" t="str">
        <x:v>P002</x:v>
      </x:c>
      <x:c r="F94" t="str">
        <x:v>DeskHub 8-in-1</x:v>
      </x:c>
      <x:c r="G94" t="str">
        <x:v>Electronics</x:v>
      </x:c>
      <x:c r="H94" s="12" t="n">
        <x:v>219</x:v>
      </x:c>
      <x:c r="I94" t="n">
        <x:v>10</x:v>
      </x:c>
      <x:c r="J94" s="14" t="n">
        <x:v>0.1</x:v>
      </x:c>
      <x:c r="K94" s="12" t="n">
        <x:f>H94*I94*(1-J94)</x:f>
        <x:v>1971</x:v>
      </x:c>
      <x:c r="L94" s="12" t="n">
        <x:v>121</x:v>
      </x:c>
      <x:c r="M94" s="12" t="n">
        <x:f>K94-L94*I94</x:f>
        <x:v>761</x:v>
      </x:c>
      <x:c r="N94" t="str">
        <x:v>Existing</x:v>
      </x:c>
      <x:c r="O94" t="str">
        <x:v>Direct Sales</x:v>
      </x:c>
      <x:c r="P94" t="str">
        <x:v>No</x:v>
      </x:c>
      <x:c r="Q94" s="16" t="str"/>
    </x:row>
    <x:row r="95">
      <x:c r="A95" t="str">
        <x:v>ORD-0094</x:v>
      </x:c>
      <x:c r="B95" s="10" t="n">
        <x:v>46139</x:v>
      </x:c>
      <x:c r="C95" t="str">
        <x:v>South</x:v>
      </x:c>
      <x:c r="D95" t="str">
        <x:v>Jason</x:v>
      </x:c>
      <x:c r="E95" t="str">
        <x:v>P004</x:v>
      </x:c>
      <x:c r="F95" t="str">
        <x:v>CloudKeyboard Mini</x:v>
      </x:c>
      <x:c r="G95" t="str">
        <x:v>Electronics</x:v>
      </x:c>
      <x:c r="H95" s="12" t="n">
        <x:v>399</x:v>
      </x:c>
      <x:c r="I95" t="n">
        <x:v>7</x:v>
      </x:c>
      <x:c r="J95" s="14" t="n">
        <x:v>0.1</x:v>
      </x:c>
      <x:c r="K95" s="12" t="n">
        <x:f>H95*I95*(1-J95)</x:f>
        <x:v>2513.7000000000003</x:v>
      </x:c>
      <x:c r="L95" s="12" t="n">
        <x:v>230</x:v>
      </x:c>
      <x:c r="M95" s="12" t="n">
        <x:f>K95-L95*I95</x:f>
        <x:v>903.7000000000003</x:v>
      </x:c>
      <x:c r="N95" t="str">
        <x:v>New</x:v>
      </x:c>
      <x:c r="O95" t="str">
        <x:v>Direct Sales</x:v>
      </x:c>
      <x:c r="P95" t="str">
        <x:v>No</x:v>
      </x:c>
      <x:c r="Q95" s="16" t="str"/>
    </x:row>
    <x:row r="96">
      <x:c r="A96" t="str">
        <x:v>ORD-0095</x:v>
      </x:c>
      <x:c r="B96" s="10" t="n">
        <x:v>46110</x:v>
      </x:c>
      <x:c r="C96" t="str">
        <x:v>North</x:v>
      </x:c>
      <x:c r="D96" t="str">
        <x:v>Leo</x:v>
      </x:c>
      <x:c r="E96" t="str">
        <x:v>P007</x:v>
      </x:c>
      <x:c r="F96" t="str">
        <x:v>CableKit Max</x:v>
      </x:c>
      <x:c r="G96" t="str">
        <x:v>Accessories</x:v>
      </x:c>
      <x:c r="H96" s="12" t="n">
        <x:v>79</x:v>
      </x:c>
      <x:c r="I96" t="n">
        <x:v>10</x:v>
      </x:c>
      <x:c r="J96" s="14" t="n">
        <x:v>0.15</x:v>
      </x:c>
      <x:c r="K96" s="12" t="n">
        <x:f>H96*I96*(1-J96)</x:f>
        <x:v>671.5</x:v>
      </x:c>
      <x:c r="L96" s="12" t="n">
        <x:v>28</x:v>
      </x:c>
      <x:c r="M96" s="12" t="n">
        <x:f>K96-L96*I96</x:f>
        <x:v>391.5</x:v>
      </x:c>
      <x:c r="N96" t="str">
        <x:v>Enterprise</x:v>
      </x:c>
      <x:c r="O96" t="str">
        <x:v>Direct Sales</x:v>
      </x:c>
      <x:c r="P96" t="str">
        <x:v>No</x:v>
      </x:c>
      <x:c r="Q96" s="16" t="str"/>
    </x:row>
    <x:row r="97">
      <x:c r="A97" t="str">
        <x:v>ORD-0096</x:v>
      </x:c>
      <x:c r="B97" s="10" t="n">
        <x:v>46137</x:v>
      </x:c>
      <x:c r="C97" t="str">
        <x:v>West</x:v>
      </x:c>
      <x:c r="D97" t="str">
        <x:v>Ryan</x:v>
      </x:c>
      <x:c r="E97" t="str">
        <x:v>P003</x:v>
      </x:c>
      <x:c r="F97" t="str">
        <x:v>ErgoStand S2</x:v>
      </x:c>
      <x:c r="G97" t="str">
        <x:v>Office</x:v>
      </x:c>
      <x:c r="H97" s="12" t="n">
        <x:v>159</x:v>
      </x:c>
      <x:c r="I97" t="n">
        <x:v>11</x:v>
      </x:c>
      <x:c r="J97" s="14" t="n">
        <x:v>0.1</x:v>
      </x:c>
      <x:c r="K97" s="12" t="n">
        <x:f>H97*I97*(1-J97)</x:f>
        <x:v>1574.1000000000001</x:v>
      </x:c>
      <x:c r="L97" s="12" t="n">
        <x:v>78</x:v>
      </x:c>
      <x:c r="M97" s="12" t="n">
        <x:f>K97-L97*I97</x:f>
        <x:v>716.1000000000001</x:v>
      </x:c>
      <x:c r="N97" t="str">
        <x:v>Existing</x:v>
      </x:c>
      <x:c r="O97" t="str">
        <x:v>Online</x:v>
      </x:c>
      <x:c r="P97" t="str">
        <x:v>No</x:v>
      </x:c>
      <x:c r="Q97" s="16" t="str"/>
    </x:row>
    <x:row r="98">
      <x:c r="A98" t="str">
        <x:v>ORD-0097</x:v>
      </x:c>
      <x:c r="B98" s="10" t="n">
        <x:v>46169</x:v>
      </x:c>
      <x:c r="C98" t="str">
        <x:v>West</x:v>
      </x:c>
      <x:c r="D98" t="str">
        <x:v>Nina</x:v>
      </x:c>
      <x:c r="E98" t="str">
        <x:v>P004</x:v>
      </x:c>
      <x:c r="F98" t="str">
        <x:v>CloudKeyboard Mini</x:v>
      </x:c>
      <x:c r="G98" t="str">
        <x:v>Electronics</x:v>
      </x:c>
      <x:c r="H98" s="12" t="n">
        <x:v>399</x:v>
      </x:c>
      <x:c r="I98" t="n">
        <x:v>14</x:v>
      </x:c>
      <x:c r="J98" s="14" t="n">
        <x:v>0</x:v>
      </x:c>
      <x:c r="K98" s="12" t="n">
        <x:f>H98*I98*(1-J98)</x:f>
        <x:v>5586</x:v>
      </x:c>
      <x:c r="L98" s="12" t="n">
        <x:v>230</x:v>
      </x:c>
      <x:c r="M98" s="12" t="n">
        <x:f>K98-L98*I98</x:f>
        <x:v>2366</x:v>
      </x:c>
      <x:c r="N98" t="str">
        <x:v>Existing</x:v>
      </x:c>
      <x:c r="O98" t="str">
        <x:v>Direct Sales</x:v>
      </x:c>
      <x:c r="P98" t="str">
        <x:v>No</x:v>
      </x:c>
      <x:c r="Q98" s="16" t="str"/>
    </x:row>
    <x:row r="99">
      <x:c r="A99" t="str">
        <x:v>ORD-0098</x:v>
      </x:c>
      <x:c r="B99" s="10" t="n">
        <x:v>46149</x:v>
      </x:c>
      <x:c r="C99" t="str">
        <x:v>East</x:v>
      </x:c>
      <x:c r="D99" t="str">
        <x:v>Alice</x:v>
      </x:c>
      <x:c r="E99" t="str">
        <x:v>P003</x:v>
      </x:c>
      <x:c r="F99" t="str">
        <x:v>ErgoStand S2</x:v>
      </x:c>
      <x:c r="G99" t="str">
        <x:v>Office</x:v>
      </x:c>
      <x:c r="H99" s="12" t="n">
        <x:v>159</x:v>
      </x:c>
      <x:c r="I99" t="n">
        <x:v>17</x:v>
      </x:c>
      <x:c r="J99" s="14" t="n">
        <x:v>0.1</x:v>
      </x:c>
      <x:c r="K99" s="12" t="n">
        <x:f>H99*I99*(1-J99)</x:f>
        <x:v>2432.7000000000003</x:v>
      </x:c>
      <x:c r="L99" s="12" t="n">
        <x:v>78</x:v>
      </x:c>
      <x:c r="M99" s="12" t="n">
        <x:f>K99-L99*I99</x:f>
        <x:v>1106.7000000000003</x:v>
      </x:c>
      <x:c r="N99" t="str">
        <x:v>Existing</x:v>
      </x:c>
      <x:c r="O99" t="str">
        <x:v>Online</x:v>
      </x:c>
      <x:c r="P99" t="str">
        <x:v>No</x:v>
      </x:c>
      <x:c r="Q99" s="16" t="str"/>
    </x:row>
    <x:row r="100">
      <x:c r="A100" t="str">
        <x:v>ORD-0099</x:v>
      </x:c>
      <x:c r="B100" s="10" t="n">
        <x:v>46026</x:v>
      </x:c>
      <x:c r="C100" t="str">
        <x:v>South</x:v>
      </x:c>
      <x:c r="D100" t="str">
        <x:v>Jason</x:v>
      </x:c>
      <x:c r="E100" t="str">
        <x:v>P008</x:v>
      </x:c>
      <x:c r="F100" t="str">
        <x:v>MonitorArm X</x:v>
      </x:c>
      <x:c r="G100" t="str">
        <x:v>Office</x:v>
      </x:c>
      <x:c r="H100" s="12" t="n">
        <x:v>269</x:v>
      </x:c>
      <x:c r="I100" t="n">
        <x:v>5</x:v>
      </x:c>
      <x:c r="J100" s="14" t="n">
        <x:v>0</x:v>
      </x:c>
      <x:c r="K100" s="12" t="n">
        <x:f>H100*I100*(1-J100)</x:f>
        <x:v>1345</x:v>
      </x:c>
      <x:c r="L100" s="12" t="n">
        <x:v>145</x:v>
      </x:c>
      <x:c r="M100" s="12" t="n">
        <x:f>K100-L100*I100</x:f>
        <x:v>620</x:v>
      </x:c>
      <x:c r="N100" t="str">
        <x:v>Existing</x:v>
      </x:c>
      <x:c r="O100" t="str">
        <x:v>Distributor</x:v>
      </x:c>
      <x:c r="P100" t="str">
        <x:v>No</x:v>
      </x:c>
      <x:c r="Q100" s="16" t="str"/>
    </x:row>
    <x:row r="101">
      <x:c r="A101" t="str">
        <x:v>ORD-0100</x:v>
      </x:c>
      <x:c r="B101" s="10" t="n">
        <x:v>46189</x:v>
      </x:c>
      <x:c r="C101" t="str">
        <x:v>East</x:v>
      </x:c>
      <x:c r="D101" t="str">
        <x:v>Kevin</x:v>
      </x:c>
      <x:c r="E101" t="str">
        <x:v>P007</x:v>
      </x:c>
      <x:c r="F101" t="str">
        <x:v>CableKit Max</x:v>
      </x:c>
      <x:c r="G101" t="str">
        <x:v>Accessories</x:v>
      </x:c>
      <x:c r="H101" s="12" t="n">
        <x:v>79</x:v>
      </x:c>
      <x:c r="I101" t="n">
        <x:v>18</x:v>
      </x:c>
      <x:c r="J101" s="14" t="n">
        <x:v>0.08</x:v>
      </x:c>
      <x:c r="K101" s="12" t="n">
        <x:f>H101*I101*(1-J101)</x:f>
        <x:v>1308.24</x:v>
      </x:c>
      <x:c r="L101" s="12" t="n">
        <x:v>28</x:v>
      </x:c>
      <x:c r="M101" s="12" t="n">
        <x:f>K101-L101*I101</x:f>
        <x:v>804.24</x:v>
      </x:c>
      <x:c r="N101" t="str">
        <x:v>Existing</x:v>
      </x:c>
      <x:c r="O101" t="str">
        <x:v>Distributor</x:v>
      </x:c>
      <x:c r="P101" t="str">
        <x:v>No</x:v>
      </x:c>
      <x:c r="Q101" s="16" t="str"/>
    </x:row>
    <x:row r="102">
      <x:c r="A102" t="str">
        <x:v>ORD-0101</x:v>
      </x:c>
      <x:c r="B102" s="10" t="n">
        <x:v>46181</x:v>
      </x:c>
      <x:c r="C102" t="str">
        <x:v>East</x:v>
      </x:c>
      <x:c r="D102" t="str">
        <x:v>Alice</x:v>
      </x:c>
      <x:c r="E102" t="str">
        <x:v>P001</x:v>
      </x:c>
      <x:c r="F102" t="str">
        <x:v>AirMouse Pro</x:v>
      </x:c>
      <x:c r="G102" t="str">
        <x:v>Electronics</x:v>
      </x:c>
      <x:c r="H102" s="12" t="n">
        <x:v>299</x:v>
      </x:c>
      <x:c r="I102" t="n">
        <x:v>10</x:v>
      </x:c>
      <x:c r="J102" s="14" t="n">
        <x:v>0</x:v>
      </x:c>
      <x:c r="K102" s="12" t="n">
        <x:f>H102*I102*(1-J102)</x:f>
        <x:v>2990</x:v>
      </x:c>
      <x:c r="L102" s="12" t="n">
        <x:v>168</x:v>
      </x:c>
      <x:c r="M102" s="12" t="n">
        <x:f>K102-L102*I102</x:f>
        <x:v>1310</x:v>
      </x:c>
      <x:c r="N102" t="str">
        <x:v>New</x:v>
      </x:c>
      <x:c r="O102" t="str">
        <x:v>Distributor</x:v>
      </x:c>
      <x:c r="P102" t="str">
        <x:v>No</x:v>
      </x:c>
      <x:c r="Q102" s="16" t="str"/>
    </x:row>
    <x:row r="103">
      <x:c r="A103" t="str">
        <x:v>ORD-0102</x:v>
      </x:c>
      <x:c r="B103" s="10" t="n">
        <x:v>46136</x:v>
      </x:c>
      <x:c r="C103" t="str">
        <x:v>South</x:v>
      </x:c>
      <x:c r="D103" t="str">
        <x:v>Jason</x:v>
      </x:c>
      <x:c r="E103" t="str">
        <x:v>P002</x:v>
      </x:c>
      <x:c r="F103" t="str">
        <x:v>DeskHub 8-in-1</x:v>
      </x:c>
      <x:c r="G103" t="str">
        <x:v>Electronics</x:v>
      </x:c>
      <x:c r="H103" s="12" t="n">
        <x:v>219</x:v>
      </x:c>
      <x:c r="I103" t="n">
        <x:v>1</x:v>
      </x:c>
      <x:c r="J103" s="14" t="n">
        <x:v>0</x:v>
      </x:c>
      <x:c r="K103" s="12" t="n">
        <x:f>H103*I103*(1-J103)</x:f>
        <x:v>219</x:v>
      </x:c>
      <x:c r="L103" s="12" t="n">
        <x:v>121</x:v>
      </x:c>
      <x:c r="M103" s="12" t="n">
        <x:f>K103-L103*I103</x:f>
        <x:v>98</x:v>
      </x:c>
      <x:c r="N103" t="str">
        <x:v>Existing</x:v>
      </x:c>
      <x:c r="O103" t="str">
        <x:v>Direct Sales</x:v>
      </x:c>
      <x:c r="P103" t="str">
        <x:v>No</x:v>
      </x:c>
      <x:c r="Q103" s="16" t="str"/>
    </x:row>
    <x:row r="104">
      <x:c r="A104" t="str">
        <x:v>ORD-0103</x:v>
      </x:c>
      <x:c r="B104" s="10" t="n">
        <x:v>46060</x:v>
      </x:c>
      <x:c r="C104" t="str">
        <x:v>South</x:v>
      </x:c>
      <x:c r="D104" t="str">
        <x:v>Jason</x:v>
      </x:c>
      <x:c r="E104" t="str">
        <x:v>P007</x:v>
      </x:c>
      <x:c r="F104" t="str">
        <x:v>CableKit Max</x:v>
      </x:c>
      <x:c r="G104" t="str">
        <x:v>Accessories</x:v>
      </x:c>
      <x:c r="H104" s="12" t="n">
        <x:v>79</x:v>
      </x:c>
      <x:c r="I104" t="n">
        <x:v>6</x:v>
      </x:c>
      <x:c r="J104" s="14" t="n">
        <x:v>0</x:v>
      </x:c>
      <x:c r="K104" s="12" t="n">
        <x:f>H104*I104*(1-J104)</x:f>
        <x:v>474</x:v>
      </x:c>
      <x:c r="L104" s="12" t="n">
        <x:v>28</x:v>
      </x:c>
      <x:c r="M104" s="12" t="n">
        <x:f>K104-L104*I104</x:f>
        <x:v>306</x:v>
      </x:c>
      <x:c r="N104" t="str">
        <x:v>Existing</x:v>
      </x:c>
      <x:c r="O104" t="str">
        <x:v>Distributor</x:v>
      </x:c>
      <x:c r="P104" t="str">
        <x:v>No</x:v>
      </x:c>
      <x:c r="Q104" s="16" t="str"/>
    </x:row>
    <x:row r="105">
      <x:c r="A105" t="str">
        <x:v>ORD-0104</x:v>
      </x:c>
      <x:c r="B105" s="10" t="n">
        <x:v>46150</x:v>
      </x:c>
      <x:c r="C105" t="str">
        <x:v>South</x:v>
      </x:c>
      <x:c r="D105" t="str">
        <x:v>Mia</x:v>
      </x:c>
      <x:c r="E105" t="str">
        <x:v>P004</x:v>
      </x:c>
      <x:c r="F105" t="str">
        <x:v>CloudKeyboard Mini</x:v>
      </x:c>
      <x:c r="G105" t="str">
        <x:v>Electronics</x:v>
      </x:c>
      <x:c r="H105" s="12" t="n">
        <x:v>399</x:v>
      </x:c>
      <x:c r="I105" t="n">
        <x:v>15</x:v>
      </x:c>
      <x:c r="J105" s="14" t="n">
        <x:v>0.15</x:v>
      </x:c>
      <x:c r="K105" s="12" t="n">
        <x:f>H105*I105*(1-J105)</x:f>
        <x:v>5087.25</x:v>
      </x:c>
      <x:c r="L105" s="12" t="n">
        <x:v>230</x:v>
      </x:c>
      <x:c r="M105" s="12" t="n">
        <x:f>K105-L105*I105</x:f>
        <x:v>1637.25</x:v>
      </x:c>
      <x:c r="N105" t="str">
        <x:v>New</x:v>
      </x:c>
      <x:c r="O105" t="str">
        <x:v>Direct Sales</x:v>
      </x:c>
      <x:c r="P105" t="str">
        <x:v>No</x:v>
      </x:c>
      <x:c r="Q105" s="16" t="str"/>
    </x:row>
    <x:row r="106">
      <x:c r="A106" t="str">
        <x:v>ORD-0105</x:v>
      </x:c>
      <x:c r="B106" s="10" t="n">
        <x:v>46196</x:v>
      </x:c>
      <x:c r="C106" t="str">
        <x:v>South</x:v>
      </x:c>
      <x:c r="D106" t="str">
        <x:v>Mia</x:v>
      </x:c>
      <x:c r="E106" t="str">
        <x:v>P005</x:v>
      </x:c>
      <x:c r="F106" t="str">
        <x:v>FocusLamp</x:v>
      </x:c>
      <x:c r="G106" t="str">
        <x:v>Office</x:v>
      </x:c>
      <x:c r="H106" s="12" t="n">
        <x:v>189</x:v>
      </x:c>
      <x:c r="I106" t="n">
        <x:v>15</x:v>
      </x:c>
      <x:c r="J106" s="14" t="n">
        <x:v>0.05</x:v>
      </x:c>
      <x:c r="K106" s="12" t="n">
        <x:f>H106*I106*(1-J106)</x:f>
        <x:v>2693.25</x:v>
      </x:c>
      <x:c r="L106" s="12" t="n">
        <x:v>91</x:v>
      </x:c>
      <x:c r="M106" s="12" t="n">
        <x:f>K106-L106*I106</x:f>
        <x:v>1328.25</x:v>
      </x:c>
      <x:c r="N106" t="str">
        <x:v>Existing</x:v>
      </x:c>
      <x:c r="O106" t="str">
        <x:v>Distributor</x:v>
      </x:c>
      <x:c r="P106" t="str">
        <x:v>No</x:v>
      </x:c>
      <x:c r="Q106" s="16" t="str"/>
    </x:row>
    <x:row r="107">
      <x:c r="A107" t="str">
        <x:v>ORD-0106</x:v>
      </x:c>
      <x:c r="B107" s="10" t="n">
        <x:v>46139</x:v>
      </x:c>
      <x:c r="C107" t="str">
        <x:v>North</x:v>
      </x:c>
      <x:c r="D107" t="str">
        <x:v>Leo</x:v>
      </x:c>
      <x:c r="E107" t="str">
        <x:v>P005</x:v>
      </x:c>
      <x:c r="F107" t="str">
        <x:v>FocusLamp</x:v>
      </x:c>
      <x:c r="G107" t="str">
        <x:v>Office</x:v>
      </x:c>
      <x:c r="H107" s="12" t="n">
        <x:v>189</x:v>
      </x:c>
      <x:c r="I107" t="n">
        <x:v>13</x:v>
      </x:c>
      <x:c r="J107" s="14" t="n">
        <x:v>0.08</x:v>
      </x:c>
      <x:c r="K107" s="12" t="n">
        <x:f>H107*I107*(1-J107)</x:f>
        <x:v>2260.44</x:v>
      </x:c>
      <x:c r="L107" s="12" t="n">
        <x:v>91</x:v>
      </x:c>
      <x:c r="M107" s="12" t="n">
        <x:f>K107-L107*I107</x:f>
        <x:v>1077.44</x:v>
      </x:c>
      <x:c r="N107" t="str">
        <x:v>Existing</x:v>
      </x:c>
      <x:c r="O107" t="str">
        <x:v>Distributor</x:v>
      </x:c>
      <x:c r="P107" t="str">
        <x:v>No</x:v>
      </x:c>
      <x:c r="Q107" s="16" t="str"/>
    </x:row>
    <x:row r="108">
      <x:c r="A108" t="str">
        <x:v>ORD-0107</x:v>
      </x:c>
      <x:c r="B108" s="10" t="n">
        <x:v>46202</x:v>
      </x:c>
      <x:c r="C108" t="str">
        <x:v>North</x:v>
      </x:c>
      <x:c r="D108" t="str">
        <x:v>Leo</x:v>
      </x:c>
      <x:c r="E108" t="str">
        <x:v>P005</x:v>
      </x:c>
      <x:c r="F108" t="str">
        <x:v>FocusLamp</x:v>
      </x:c>
      <x:c r="G108" t="str">
        <x:v>Office</x:v>
      </x:c>
      <x:c r="H108" s="12" t="n">
        <x:v>189</x:v>
      </x:c>
      <x:c r="I108" t="n">
        <x:v>13</x:v>
      </x:c>
      <x:c r="J108" s="14" t="n">
        <x:v>0.05</x:v>
      </x:c>
      <x:c r="K108" s="12" t="n">
        <x:f>H108*I108*(1-J108)</x:f>
        <x:v>2334.15</x:v>
      </x:c>
      <x:c r="L108" s="12" t="n">
        <x:v>91</x:v>
      </x:c>
      <x:c r="M108" s="12" t="n">
        <x:f>K108-L108*I108</x:f>
        <x:v>1151.15</x:v>
      </x:c>
      <x:c r="N108" t="str">
        <x:v>Enterprise</x:v>
      </x:c>
      <x:c r="O108" t="str">
        <x:v>Online</x:v>
      </x:c>
      <x:c r="P108" t="str">
        <x:v>Yes</x:v>
      </x:c>
      <x:c r="Q108" s="16" t="str">
        <x:v>Wrong model ordered</x:v>
      </x:c>
    </x:row>
    <x:row r="109">
      <x:c r="A109" t="str">
        <x:v>ORD-0108</x:v>
      </x:c>
      <x:c r="B109" s="10" t="n">
        <x:v>46096</x:v>
      </x:c>
      <x:c r="C109" t="str">
        <x:v>South</x:v>
      </x:c>
      <x:c r="D109" t="str">
        <x:v>Jason</x:v>
      </x:c>
      <x:c r="E109" t="str">
        <x:v>P008</x:v>
      </x:c>
      <x:c r="F109" t="str">
        <x:v>MonitorArm X</x:v>
      </x:c>
      <x:c r="G109" t="str">
        <x:v>Office</x:v>
      </x:c>
      <x:c r="H109" s="12" t="n">
        <x:v>269</x:v>
      </x:c>
      <x:c r="I109" t="n">
        <x:v>8</x:v>
      </x:c>
      <x:c r="J109" s="14" t="n">
        <x:v>0.15</x:v>
      </x:c>
      <x:c r="K109" s="12" t="n">
        <x:f>H109*I109*(1-J109)</x:f>
        <x:v>1829.2</x:v>
      </x:c>
      <x:c r="L109" s="12" t="n">
        <x:v>145</x:v>
      </x:c>
      <x:c r="M109" s="12" t="n">
        <x:f>K109-L109*I109</x:f>
        <x:v>669.2</x:v>
      </x:c>
      <x:c r="N109" t="str">
        <x:v>Enterprise</x:v>
      </x:c>
      <x:c r="O109" t="str">
        <x:v>Distributor</x:v>
      </x:c>
      <x:c r="P109" t="str">
        <x:v>No</x:v>
      </x:c>
      <x:c r="Q109" s="16" t="str"/>
    </x:row>
    <x:row r="110">
      <x:c r="A110" t="str">
        <x:v>ORD-0109</x:v>
      </x:c>
      <x:c r="B110" s="10" t="n">
        <x:v>46183</x:v>
      </x:c>
      <x:c r="C110" t="str">
        <x:v>East</x:v>
      </x:c>
      <x:c r="D110" t="str">
        <x:v>Alice</x:v>
      </x:c>
      <x:c r="E110" t="str">
        <x:v>P003</x:v>
      </x:c>
      <x:c r="F110" t="str">
        <x:v>ErgoStand S2</x:v>
      </x:c>
      <x:c r="G110" t="str">
        <x:v>Office</x:v>
      </x:c>
      <x:c r="H110" s="12" t="n">
        <x:v>159</x:v>
      </x:c>
      <x:c r="I110" t="n">
        <x:v>10</x:v>
      </x:c>
      <x:c r="J110" s="14" t="n">
        <x:v>0.08</x:v>
      </x:c>
      <x:c r="K110" s="12" t="n">
        <x:f>H110*I110*(1-J110)</x:f>
        <x:v>1462.8</x:v>
      </x:c>
      <x:c r="L110" s="12" t="n">
        <x:v>78</x:v>
      </x:c>
      <x:c r="M110" s="12" t="n">
        <x:f>K110-L110*I110</x:f>
        <x:v>682.8</x:v>
      </x:c>
      <x:c r="N110" t="str">
        <x:v>Enterprise</x:v>
      </x:c>
      <x:c r="O110" t="str">
        <x:v>Online</x:v>
      </x:c>
      <x:c r="P110" t="str">
        <x:v>Yes</x:v>
      </x:c>
      <x:c r="Q110" s="16" t="str">
        <x:v>Customer changed mind</x:v>
      </x:c>
    </x:row>
    <x:row r="111">
      <x:c r="A111" t="str">
        <x:v>ORD-0110</x:v>
      </x:c>
      <x:c r="B111" s="10" t="n">
        <x:v>46098</x:v>
      </x:c>
      <x:c r="C111" t="str">
        <x:v>North</x:v>
      </x:c>
      <x:c r="D111" t="str">
        <x:v>Emma</x:v>
      </x:c>
      <x:c r="E111" t="str">
        <x:v>P002</x:v>
      </x:c>
      <x:c r="F111" t="str">
        <x:v>DeskHub 8-in-1</x:v>
      </x:c>
      <x:c r="G111" t="str">
        <x:v>Electronics</x:v>
      </x:c>
      <x:c r="H111" s="12" t="n">
        <x:v>219</x:v>
      </x:c>
      <x:c r="I111" t="n">
        <x:v>6</x:v>
      </x:c>
      <x:c r="J111" s="14" t="n">
        <x:v>0</x:v>
      </x:c>
      <x:c r="K111" s="12" t="n">
        <x:f>H111*I111*(1-J111)</x:f>
        <x:v>1314</x:v>
      </x:c>
      <x:c r="L111" s="12" t="n">
        <x:v>121</x:v>
      </x:c>
      <x:c r="M111" s="12" t="n">
        <x:f>K111-L111*I111</x:f>
        <x:v>588</x:v>
      </x:c>
      <x:c r="N111" t="str">
        <x:v>Existing</x:v>
      </x:c>
      <x:c r="O111" t="str">
        <x:v>Distributor</x:v>
      </x:c>
      <x:c r="P111" t="str">
        <x:v>No</x:v>
      </x:c>
      <x:c r="Q111" s="16" t="str"/>
    </x:row>
    <x:row r="112">
      <x:c r="A112" t="str">
        <x:v>ORD-0111</x:v>
      </x:c>
      <x:c r="B112" s="10" t="n">
        <x:v>46065</x:v>
      </x:c>
      <x:c r="C112" t="str">
        <x:v>North</x:v>
      </x:c>
      <x:c r="D112" t="str">
        <x:v>Emma</x:v>
      </x:c>
      <x:c r="E112" t="str">
        <x:v>P005</x:v>
      </x:c>
      <x:c r="F112" t="str">
        <x:v>FocusLamp</x:v>
      </x:c>
      <x:c r="G112" t="str">
        <x:v>Office</x:v>
      </x:c>
      <x:c r="H112" s="12" t="n">
        <x:v>189</x:v>
      </x:c>
      <x:c r="I112" t="n">
        <x:v>10</x:v>
      </x:c>
      <x:c r="J112" s="14" t="n">
        <x:v>0.15</x:v>
      </x:c>
      <x:c r="K112" s="12" t="n">
        <x:f>H112*I112*(1-J112)</x:f>
        <x:v>1606.5</x:v>
      </x:c>
      <x:c r="L112" s="12" t="n">
        <x:v>91</x:v>
      </x:c>
      <x:c r="M112" s="12" t="n">
        <x:f>K112-L112*I112</x:f>
        <x:v>696.5</x:v>
      </x:c>
      <x:c r="N112" t="str">
        <x:v>Existing</x:v>
      </x:c>
      <x:c r="O112" t="str">
        <x:v>Online</x:v>
      </x:c>
      <x:c r="P112" t="str">
        <x:v>No</x:v>
      </x:c>
      <x:c r="Q112" s="16" t="str"/>
    </x:row>
    <x:row r="113">
      <x:c r="A113" t="str">
        <x:v>ORD-0112</x:v>
      </x:c>
      <x:c r="B113" s="10" t="n">
        <x:v>46080</x:v>
      </x:c>
      <x:c r="C113" t="str">
        <x:v>West</x:v>
      </x:c>
      <x:c r="D113" t="str">
        <x:v>Ryan</x:v>
      </x:c>
      <x:c r="E113" t="str">
        <x:v>P003</x:v>
      </x:c>
      <x:c r="F113" t="str">
        <x:v>ErgoStand S2</x:v>
      </x:c>
      <x:c r="G113" t="str">
        <x:v>Office</x:v>
      </x:c>
      <x:c r="H113" s="12" t="n">
        <x:v>159</x:v>
      </x:c>
      <x:c r="I113" t="n">
        <x:v>3</x:v>
      </x:c>
      <x:c r="J113" s="14" t="n">
        <x:v>0.08</x:v>
      </x:c>
      <x:c r="K113" s="12" t="n">
        <x:f>H113*I113*(1-J113)</x:f>
        <x:v>438.84000000000003</x:v>
      </x:c>
      <x:c r="L113" s="12" t="n">
        <x:v>78</x:v>
      </x:c>
      <x:c r="M113" s="12" t="n">
        <x:f>K113-L113*I113</x:f>
        <x:v>204.84000000000003</x:v>
      </x:c>
      <x:c r="N113" t="str">
        <x:v>New</x:v>
      </x:c>
      <x:c r="O113" t="str">
        <x:v>Direct Sales</x:v>
      </x:c>
      <x:c r="P113" t="str">
        <x:v>Yes</x:v>
      </x:c>
      <x:c r="Q113" s="16" t="str">
        <x:v>Wrong model ordered</x:v>
      </x:c>
    </x:row>
    <x:row r="114">
      <x:c r="A114" t="str">
        <x:v>ORD-0113</x:v>
      </x:c>
      <x:c r="B114" s="10" t="n">
        <x:v>46195</x:v>
      </x:c>
      <x:c r="C114" t="str">
        <x:v>North</x:v>
      </x:c>
      <x:c r="D114" t="str">
        <x:v>Emma</x:v>
      </x:c>
      <x:c r="E114" t="str">
        <x:v>P006</x:v>
      </x:c>
      <x:c r="F114" t="str">
        <x:v>TravelDock Lite</x:v>
      </x:c>
      <x:c r="G114" t="str">
        <x:v>Electronics</x:v>
      </x:c>
      <x:c r="H114" s="12" t="n">
        <x:v>129</x:v>
      </x:c>
      <x:c r="I114" t="n">
        <x:v>12</x:v>
      </x:c>
      <x:c r="J114" s="14" t="n">
        <x:v>0</x:v>
      </x:c>
      <x:c r="K114" s="12" t="n">
        <x:f>H114*I114*(1-J114)</x:f>
        <x:v>1548</x:v>
      </x:c>
      <x:c r="L114" s="12" t="n">
        <x:v>67</x:v>
      </x:c>
      <x:c r="M114" s="12" t="n">
        <x:f>K114-L114*I114</x:f>
        <x:v>744</x:v>
      </x:c>
      <x:c r="N114" t="str">
        <x:v>Enterprise</x:v>
      </x:c>
      <x:c r="O114" t="str">
        <x:v>Distributor</x:v>
      </x:c>
      <x:c r="P114" t="str">
        <x:v>No</x:v>
      </x:c>
      <x:c r="Q114" s="16" t="str"/>
    </x:row>
    <x:row r="115">
      <x:c r="A115" t="str">
        <x:v>ORD-0114</x:v>
      </x:c>
      <x:c r="B115" s="10" t="n">
        <x:v>46179</x:v>
      </x:c>
      <x:c r="C115" t="str">
        <x:v>South</x:v>
      </x:c>
      <x:c r="D115" t="str">
        <x:v>Mia</x:v>
      </x:c>
      <x:c r="E115" t="str">
        <x:v>P006</x:v>
      </x:c>
      <x:c r="F115" t="str">
        <x:v>TravelDock Lite</x:v>
      </x:c>
      <x:c r="G115" t="str">
        <x:v>Electronics</x:v>
      </x:c>
      <x:c r="H115" s="12" t="n">
        <x:v>129</x:v>
      </x:c>
      <x:c r="I115" t="n">
        <x:v>15</x:v>
      </x:c>
      <x:c r="J115" s="14" t="n">
        <x:v>0.15</x:v>
      </x:c>
      <x:c r="K115" s="12" t="n">
        <x:f>H115*I115*(1-J115)</x:f>
        <x:v>1644.75</x:v>
      </x:c>
      <x:c r="L115" s="12" t="n">
        <x:v>67</x:v>
      </x:c>
      <x:c r="M115" s="12" t="n">
        <x:f>K115-L115*I115</x:f>
        <x:v>639.75</x:v>
      </x:c>
      <x:c r="N115" t="str">
        <x:v>New</x:v>
      </x:c>
      <x:c r="O115" t="str">
        <x:v>Online</x:v>
      </x:c>
      <x:c r="P115" t="str">
        <x:v>No</x:v>
      </x:c>
      <x:c r="Q115" s="16" t="str"/>
    </x:row>
    <x:row r="116">
      <x:c r="A116" t="str">
        <x:v>ORD-0115</x:v>
      </x:c>
      <x:c r="B116" s="10" t="n">
        <x:v>46100</x:v>
      </x:c>
      <x:c r="C116" t="str">
        <x:v>West</x:v>
      </x:c>
      <x:c r="D116" t="str">
        <x:v>Nina</x:v>
      </x:c>
      <x:c r="E116" t="str">
        <x:v>P001</x:v>
      </x:c>
      <x:c r="F116" t="str">
        <x:v>AirMouse Pro</x:v>
      </x:c>
      <x:c r="G116" t="str">
        <x:v>Electronics</x:v>
      </x:c>
      <x:c r="H116" s="12" t="n">
        <x:v>299</x:v>
      </x:c>
      <x:c r="I116" t="n">
        <x:v>4</x:v>
      </x:c>
      <x:c r="J116" s="14" t="n">
        <x:v>0</x:v>
      </x:c>
      <x:c r="K116" s="12" t="n">
        <x:f>H116*I116*(1-J116)</x:f>
        <x:v>1196</x:v>
      </x:c>
      <x:c r="L116" s="12" t="n">
        <x:v>168</x:v>
      </x:c>
      <x:c r="M116" s="12" t="n">
        <x:f>K116-L116*I116</x:f>
        <x:v>524</x:v>
      </x:c>
      <x:c r="N116" t="str">
        <x:v>Existing</x:v>
      </x:c>
      <x:c r="O116" t="str">
        <x:v>Direct Sales</x:v>
      </x:c>
      <x:c r="P116" t="str">
        <x:v>No</x:v>
      </x:c>
      <x:c r="Q116" s="16" t="str"/>
    </x:row>
    <x:row r="117">
      <x:c r="A117" t="str">
        <x:v>ORD-0116</x:v>
      </x:c>
      <x:c r="B117" s="10" t="n">
        <x:v>46173</x:v>
      </x:c>
      <x:c r="C117" t="str">
        <x:v>South</x:v>
      </x:c>
      <x:c r="D117" t="str">
        <x:v>Jason</x:v>
      </x:c>
      <x:c r="E117" t="str">
        <x:v>P007</x:v>
      </x:c>
      <x:c r="F117" t="str">
        <x:v>CableKit Max</x:v>
      </x:c>
      <x:c r="G117" t="str">
        <x:v>Accessories</x:v>
      </x:c>
      <x:c r="H117" s="12" t="n">
        <x:v>79</x:v>
      </x:c>
      <x:c r="I117" t="n">
        <x:v>4</x:v>
      </x:c>
      <x:c r="J117" s="14" t="n">
        <x:v>0.08</x:v>
      </x:c>
      <x:c r="K117" s="12" t="n">
        <x:f>H117*I117*(1-J117)</x:f>
        <x:v>290.72</x:v>
      </x:c>
      <x:c r="L117" s="12" t="n">
        <x:v>28</x:v>
      </x:c>
      <x:c r="M117" s="12" t="n">
        <x:f>K117-L117*I117</x:f>
        <x:v>178.72000000000003</x:v>
      </x:c>
      <x:c r="N117" t="str">
        <x:v>Existing</x:v>
      </x:c>
      <x:c r="O117" t="str">
        <x:v>Online</x:v>
      </x:c>
      <x:c r="P117" t="str">
        <x:v>No</x:v>
      </x:c>
      <x:c r="Q117" s="16" t="str"/>
    </x:row>
    <x:row r="118">
      <x:c r="A118" t="str">
        <x:v>ORD-0117</x:v>
      </x:c>
      <x:c r="B118" s="10" t="n">
        <x:v>46078</x:v>
      </x:c>
      <x:c r="C118" t="str">
        <x:v>West</x:v>
      </x:c>
      <x:c r="D118" t="str">
        <x:v>Ryan</x:v>
      </x:c>
      <x:c r="E118" t="str">
        <x:v>P006</x:v>
      </x:c>
      <x:c r="F118" t="str">
        <x:v>TravelDock Lite</x:v>
      </x:c>
      <x:c r="G118" t="str">
        <x:v>Electronics</x:v>
      </x:c>
      <x:c r="H118" s="12" t="n">
        <x:v>129</x:v>
      </x:c>
      <x:c r="I118" t="n">
        <x:v>8</x:v>
      </x:c>
      <x:c r="J118" s="14" t="n">
        <x:v>0.05</x:v>
      </x:c>
      <x:c r="K118" s="12" t="n">
        <x:f>H118*I118*(1-J118)</x:f>
        <x:v>980.4</x:v>
      </x:c>
      <x:c r="L118" s="12" t="n">
        <x:v>67</x:v>
      </x:c>
      <x:c r="M118" s="12" t="n">
        <x:f>K118-L118*I118</x:f>
        <x:v>444.4</x:v>
      </x:c>
      <x:c r="N118" t="str">
        <x:v>Enterprise</x:v>
      </x:c>
      <x:c r="O118" t="str">
        <x:v>Distributor</x:v>
      </x:c>
      <x:c r="P118" t="str">
        <x:v>No</x:v>
      </x:c>
      <x:c r="Q118" s="16" t="str"/>
    </x:row>
    <x:row r="119">
      <x:c r="A119" t="str">
        <x:v>ORD-0118</x:v>
      </x:c>
      <x:c r="B119" s="10" t="n">
        <x:v>46038</x:v>
      </x:c>
      <x:c r="C119" t="str">
        <x:v>West</x:v>
      </x:c>
      <x:c r="D119" t="str">
        <x:v>Ryan</x:v>
      </x:c>
      <x:c r="E119" t="str">
        <x:v>P006</x:v>
      </x:c>
      <x:c r="F119" t="str">
        <x:v>TravelDock Lite</x:v>
      </x:c>
      <x:c r="G119" t="str">
        <x:v>Electronics</x:v>
      </x:c>
      <x:c r="H119" s="12" t="n">
        <x:v>129</x:v>
      </x:c>
      <x:c r="I119" t="n">
        <x:v>7</x:v>
      </x:c>
      <x:c r="J119" s="14" t="n">
        <x:v>0</x:v>
      </x:c>
      <x:c r="K119" s="12" t="n">
        <x:f>H119*I119*(1-J119)</x:f>
        <x:v>903</x:v>
      </x:c>
      <x:c r="L119" s="12" t="n">
        <x:v>67</x:v>
      </x:c>
      <x:c r="M119" s="12" t="n">
        <x:f>K119-L119*I119</x:f>
        <x:v>434</x:v>
      </x:c>
      <x:c r="N119" t="str">
        <x:v>New</x:v>
      </x:c>
      <x:c r="O119" t="str">
        <x:v>Distributor</x:v>
      </x:c>
      <x:c r="P119" t="str">
        <x:v>No</x:v>
      </x:c>
      <x:c r="Q119" s="16" t="str"/>
    </x:row>
    <x:row r="120">
      <x:c r="A120" t="str">
        <x:v>ORD-0119</x:v>
      </x:c>
      <x:c r="B120" s="10" t="n">
        <x:v>46187</x:v>
      </x:c>
      <x:c r="C120" t="str">
        <x:v>East</x:v>
      </x:c>
      <x:c r="D120" t="str">
        <x:v>Alice</x:v>
      </x:c>
      <x:c r="E120" t="str">
        <x:v>P004</x:v>
      </x:c>
      <x:c r="F120" t="str">
        <x:v>CloudKeyboard Mini</x:v>
      </x:c>
      <x:c r="G120" t="str">
        <x:v>Electronics</x:v>
      </x:c>
      <x:c r="H120" s="12" t="n">
        <x:v>399</x:v>
      </x:c>
      <x:c r="I120" t="n">
        <x:v>11</x:v>
      </x:c>
      <x:c r="J120" s="14" t="n">
        <x:v>0</x:v>
      </x:c>
      <x:c r="K120" s="12" t="n">
        <x:f>H120*I120*(1-J120)</x:f>
        <x:v>4389</x:v>
      </x:c>
      <x:c r="L120" s="12" t="n">
        <x:v>230</x:v>
      </x:c>
      <x:c r="M120" s="12" t="n">
        <x:f>K120-L120*I120</x:f>
        <x:v>1859</x:v>
      </x:c>
      <x:c r="N120" t="str">
        <x:v>New</x:v>
      </x:c>
      <x:c r="O120" t="str">
        <x:v>Online</x:v>
      </x:c>
      <x:c r="P120" t="str">
        <x:v>No</x:v>
      </x:c>
      <x:c r="Q120" s="16" t="str"/>
    </x:row>
    <x:row r="121">
      <x:c r="A121" t="str">
        <x:v>ORD-0120</x:v>
      </x:c>
      <x:c r="B121" s="10" t="n">
        <x:v>46173</x:v>
      </x:c>
      <x:c r="C121" t="str">
        <x:v>South</x:v>
      </x:c>
      <x:c r="D121" t="str">
        <x:v>Mia</x:v>
      </x:c>
      <x:c r="E121" t="str">
        <x:v>P004</x:v>
      </x:c>
      <x:c r="F121" t="str">
        <x:v>CloudKeyboard Mini</x:v>
      </x:c>
      <x:c r="G121" t="str">
        <x:v>Electronics</x:v>
      </x:c>
      <x:c r="H121" s="12" t="n">
        <x:v>399</x:v>
      </x:c>
      <x:c r="I121" t="n">
        <x:v>11</x:v>
      </x:c>
      <x:c r="J121" s="14" t="n">
        <x:v>0</x:v>
      </x:c>
      <x:c r="K121" s="12" t="n">
        <x:f>H121*I121*(1-J121)</x:f>
        <x:v>4389</x:v>
      </x:c>
      <x:c r="L121" s="12" t="n">
        <x:v>230</x:v>
      </x:c>
      <x:c r="M121" s="12" t="n">
        <x:f>K121-L121*I121</x:f>
        <x:v>1859</x:v>
      </x:c>
      <x:c r="N121" t="str">
        <x:v>Existing</x:v>
      </x:c>
      <x:c r="O121" t="str">
        <x:v>Online</x:v>
      </x:c>
      <x:c r="P121" t="str">
        <x:v>No</x:v>
      </x:c>
      <x:c r="Q121" s="16" t="str"/>
    </x:row>
  </x:sheetData>
  <x:conditionalFormatting sqref="M2:M121">
    <x:cfRule type="colorScale" priority="1">
      <x:colorScale>
        <x:cfvo type="min"/>
        <x:cfvo type="percentile" val="50"/>
        <x:cfvo type="max"/>
        <x:color rgb="FFF8CBAD"/>
        <x:color rgb="FFFFF2CC"/>
        <x:color rgb="FFC6E0B4"/>
      </x:colorScale>
    </x:cfRule>
  </x:conditionalFormatting>
  <x:conditionalFormatting sqref="P2:P121">
    <x:cfRule type="expression" dxfId="0" priority="2">
      <x:formula>P2="Yes"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e8bd3b6e45b425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4" hidden="0" customWidth="1"/>
    <x:col min="4" max="4" width="13" hidden="0" customWidth="1"/>
    <x:col min="5" max="5" width="13" hidden="0" customWidth="1"/>
  </x:cols>
  <x:sheetData>
    <x:row r="1">
      <x:c r="A1" s="5" t="str">
        <x:v>ProductID</x:v>
      </x:c>
      <x:c r="B1" s="5" t="str">
        <x:v>ProductName</x:v>
      </x:c>
      <x:c r="C1" s="5" t="str">
        <x:v>Category</x:v>
      </x:c>
      <x:c r="D1" s="5" t="str">
        <x:v>ListPrice</x:v>
      </x:c>
      <x:c r="E1" s="5" t="str">
        <x:v>UnitCost</x:v>
      </x:c>
    </x:row>
    <x:row r="2">
      <x:c r="A2" t="str">
        <x:v>P001</x:v>
      </x:c>
      <x:c r="B2" t="str">
        <x:v>AirMouse Pro</x:v>
      </x:c>
      <x:c r="C2" t="str">
        <x:v>Electronics</x:v>
      </x:c>
      <x:c r="D2" s="12" t="n">
        <x:v>299</x:v>
      </x:c>
      <x:c r="E2" s="12" t="n">
        <x:v>168</x:v>
      </x:c>
    </x:row>
    <x:row r="3">
      <x:c r="A3" t="str">
        <x:v>P002</x:v>
      </x:c>
      <x:c r="B3" t="str">
        <x:v>DeskHub 8-in-1</x:v>
      </x:c>
      <x:c r="C3" t="str">
        <x:v>Electronics</x:v>
      </x:c>
      <x:c r="D3" s="12" t="n">
        <x:v>219</x:v>
      </x:c>
      <x:c r="E3" s="12" t="n">
        <x:v>121</x:v>
      </x:c>
    </x:row>
    <x:row r="4">
      <x:c r="A4" t="str">
        <x:v>P003</x:v>
      </x:c>
      <x:c r="B4" t="str">
        <x:v>ErgoStand S2</x:v>
      </x:c>
      <x:c r="C4" t="str">
        <x:v>Office</x:v>
      </x:c>
      <x:c r="D4" s="12" t="n">
        <x:v>159</x:v>
      </x:c>
      <x:c r="E4" s="12" t="n">
        <x:v>78</x:v>
      </x:c>
    </x:row>
    <x:row r="5">
      <x:c r="A5" t="str">
        <x:v>P004</x:v>
      </x:c>
      <x:c r="B5" t="str">
        <x:v>CloudKeyboard Mini</x:v>
      </x:c>
      <x:c r="C5" t="str">
        <x:v>Electronics</x:v>
      </x:c>
      <x:c r="D5" s="12" t="n">
        <x:v>399</x:v>
      </x:c>
      <x:c r="E5" s="12" t="n">
        <x:v>230</x:v>
      </x:c>
    </x:row>
    <x:row r="6">
      <x:c r="A6" t="str">
        <x:v>P005</x:v>
      </x:c>
      <x:c r="B6" t="str">
        <x:v>FocusLamp</x:v>
      </x:c>
      <x:c r="C6" t="str">
        <x:v>Office</x:v>
      </x:c>
      <x:c r="D6" s="12" t="n">
        <x:v>189</x:v>
      </x:c>
      <x:c r="E6" s="12" t="n">
        <x:v>91</x:v>
      </x:c>
    </x:row>
    <x:row r="7">
      <x:c r="A7" t="str">
        <x:v>P006</x:v>
      </x:c>
      <x:c r="B7" t="str">
        <x:v>TravelDock Lite</x:v>
      </x:c>
      <x:c r="C7" t="str">
        <x:v>Electronics</x:v>
      </x:c>
      <x:c r="D7" s="12" t="n">
        <x:v>129</x:v>
      </x:c>
      <x:c r="E7" s="12" t="n">
        <x:v>67</x:v>
      </x:c>
    </x:row>
    <x:row r="8">
      <x:c r="A8" t="str">
        <x:v>P007</x:v>
      </x:c>
      <x:c r="B8" t="str">
        <x:v>CableKit Max</x:v>
      </x:c>
      <x:c r="C8" t="str">
        <x:v>Accessories</x:v>
      </x:c>
      <x:c r="D8" s="12" t="n">
        <x:v>79</x:v>
      </x:c>
      <x:c r="E8" s="12" t="n">
        <x:v>28</x:v>
      </x:c>
    </x:row>
    <x:row r="9">
      <x:c r="A9" t="str">
        <x:v>P008</x:v>
      </x:c>
      <x:c r="B9" t="str">
        <x:v>MonitorArm X</x:v>
      </x:c>
      <x:c r="C9" t="str">
        <x:v>Office</x:v>
      </x:c>
      <x:c r="D9" s="12" t="n">
        <x:v>269</x:v>
      </x:c>
      <x:c r="E9" s="12" t="n">
        <x:v>145</x:v>
      </x:c>
    </x:row>
  </x:sheetData>
  <x:pageMargins left="0.7" right="0.7" top="0.75" bottom="0.75" header="0.3" footer="0.3"/>
  <x:tableParts count="1">
    <x:tablePart xmlns:r="http://schemas.openxmlformats.org/officeDocument/2006/relationships" r:id="R7bd5fbe2f2d245b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Month</x:v>
      </x:c>
      <x:c r="B1" s="5" t="str">
        <x:v>Revenue</x:v>
      </x:c>
      <x:c r="C1" s="5" t="str">
        <x:v>Profit</x:v>
      </x:c>
      <x:c r="D1" s="5" t="str">
        <x:v>Orders</x:v>
      </x:c>
      <x:c r="E1" s="5" t="str">
        <x:v>Avg Order Value</x:v>
      </x:c>
      <x:c r="F1" s="5" t="str">
        <x:v>Returned Orders</x:v>
      </x:c>
    </x:row>
    <x:row r="2">
      <x:c r="A2" s="22" t="n">
        <x:v>46023</x:v>
      </x:c>
      <x:c r="B2" s="12" t="n">
        <x:f>SUMIFS(SalesData!$K$2:$K$121,SalesData!$B$2:$B$121,"&gt;="&amp;A2,SalesData!$B$2:$B$121,"&lt;"&amp;A3)</x:f>
        <x:v>25674.34</x:v>
      </x:c>
      <x:c r="C2" s="12" t="n">
        <x:f>SUMIFS(SalesData!$M$2:$M$121,SalesData!$B$2:$B$121,"&gt;="&amp;A2,SalesData!$B$2:$B$121,"&lt;"&amp;A3)</x:f>
        <x:v>11199.34</x:v>
      </x:c>
      <x:c r="D2" t="n">
        <x:f>COUNTIFS(SalesData!$B$2:$B$121,"&gt;="&amp;A2,SalesData!$B$2:$B$121,"&lt;"&amp;A3)</x:f>
        <x:v>17</x:v>
      </x:c>
      <x:c r="E2" s="12" t="n">
        <x:f>IF(D2=0,0,B2/D2)</x:f>
        <x:v>1510.255294117647</x:v>
      </x:c>
      <x:c r="F2" t="n">
        <x:f>COUNTIFS(SalesData!$B$2:$B$121,"&gt;="&amp;A2,SalesData!$B$2:$B$121,"&lt;"&amp;A3,SalesData!$P$2:$P$121,"Yes")</x:f>
        <x:v>1</x:v>
      </x:c>
    </x:row>
    <x:row r="3">
      <x:c r="A3" s="22" t="n">
        <x:v>46054</x:v>
      </x:c>
      <x:c r="B3" s="12" t="n">
        <x:f>SUMIFS(SalesData!$K$2:$K$121,SalesData!$B$2:$B$121,"&gt;="&amp;A3,SalesData!$B$2:$B$121,"&lt;"&amp;A4)</x:f>
        <x:v>38158.579999999994</x:v>
      </x:c>
      <x:c r="C3" s="12" t="n">
        <x:f>SUMIFS(SalesData!$M$2:$M$121,SalesData!$B$2:$B$121,"&gt;="&amp;A3,SalesData!$B$2:$B$121,"&lt;"&amp;A4)</x:f>
        <x:v>16381.58</x:v>
      </x:c>
      <x:c r="D3" t="n">
        <x:f>COUNTIFS(SalesData!$B$2:$B$121,"&gt;="&amp;A3,SalesData!$B$2:$B$121,"&lt;"&amp;A4)</x:f>
        <x:v>16</x:v>
      </x:c>
      <x:c r="E3" s="12" t="n">
        <x:f>IF(D3=0,0,B3/D3)</x:f>
        <x:v>2384.9112499999997</x:v>
      </x:c>
      <x:c r="F3" t="n">
        <x:f>COUNTIFS(SalesData!$B$2:$B$121,"&gt;="&amp;A3,SalesData!$B$2:$B$121,"&lt;"&amp;A4,SalesData!$P$2:$P$121,"Yes")</x:f>
        <x:v>1</x:v>
      </x:c>
    </x:row>
    <x:row r="4">
      <x:c r="A4" s="22" t="n">
        <x:v>46082</x:v>
      </x:c>
      <x:c r="B4" s="12" t="n">
        <x:f>SUMIFS(SalesData!$K$2:$K$121,SalesData!$B$2:$B$121,"&gt;="&amp;A4,SalesData!$B$2:$B$121,"&lt;"&amp;A5)</x:f>
        <x:v>47245.48</x:v>
      </x:c>
      <x:c r="C4" s="12" t="n">
        <x:f>SUMIFS(SalesData!$M$2:$M$121,SalesData!$B$2:$B$121,"&gt;="&amp;A4,SalesData!$B$2:$B$121,"&lt;"&amp;A5)</x:f>
        <x:v>19579.48</x:v>
      </x:c>
      <x:c r="D4" t="n">
        <x:f>COUNTIFS(SalesData!$B$2:$B$121,"&gt;="&amp;A4,SalesData!$B$2:$B$121,"&lt;"&amp;A5)</x:f>
        <x:v>22</x:v>
      </x:c>
      <x:c r="E4" s="12" t="n">
        <x:f>IF(D4=0,0,B4/D4)</x:f>
        <x:v>2147.521818181818</x:v>
      </x:c>
      <x:c r="F4" t="n">
        <x:f>COUNTIFS(SalesData!$B$2:$B$121,"&gt;="&amp;A4,SalesData!$B$2:$B$121,"&lt;"&amp;A5,SalesData!$P$2:$P$121,"Yes")</x:f>
        <x:v>0</x:v>
      </x:c>
    </x:row>
    <x:row r="5">
      <x:c r="A5" s="22" t="n">
        <x:v>46113</x:v>
      </x:c>
      <x:c r="B5" s="12" t="n">
        <x:f>SUMIFS(SalesData!$K$2:$K$121,SalesData!$B$2:$B$121,"&gt;="&amp;A5,SalesData!$B$2:$B$121,"&lt;"&amp;A6)</x:f>
        <x:v>36715.240000000005</x:v>
      </x:c>
      <x:c r="C5" s="12" t="n">
        <x:f>SUMIFS(SalesData!$M$2:$M$121,SalesData!$B$2:$B$121,"&gt;="&amp;A5,SalesData!$B$2:$B$121,"&lt;"&amp;A6)</x:f>
        <x:v>16572.24</x:v>
      </x:c>
      <x:c r="D5" t="n">
        <x:f>COUNTIFS(SalesData!$B$2:$B$121,"&gt;="&amp;A5,SalesData!$B$2:$B$121,"&lt;"&amp;A6)</x:f>
        <x:v>21</x:v>
      </x:c>
      <x:c r="E5" s="12" t="n">
        <x:f>IF(D5=0,0,B5/D5)</x:f>
        <x:v>1748.3447619047622</x:v>
      </x:c>
      <x:c r="F5" t="n">
        <x:f>COUNTIFS(SalesData!$B$2:$B$121,"&gt;="&amp;A5,SalesData!$B$2:$B$121,"&lt;"&amp;A6,SalesData!$P$2:$P$121,"Yes")</x:f>
        <x:v>1</x:v>
      </x:c>
    </x:row>
    <x:row r="6">
      <x:c r="A6" s="22" t="n">
        <x:v>46143</x:v>
      </x:c>
      <x:c r="B6" s="12" t="n">
        <x:f>SUMIFS(SalesData!$K$2:$K$121,SalesData!$B$2:$B$121,"&gt;="&amp;A6,SalesData!$B$2:$B$121,"&lt;"&amp;A7)</x:f>
        <x:v>51838.98</x:v>
      </x:c>
      <x:c r="C6" s="12" t="n">
        <x:f>SUMIFS(SalesData!$M$2:$M$121,SalesData!$B$2:$B$121,"&gt;="&amp;A6,SalesData!$B$2:$B$121,"&lt;"&amp;A7)</x:f>
        <x:v>21174.980000000003</x:v>
      </x:c>
      <x:c r="D6" t="n">
        <x:f>COUNTIFS(SalesData!$B$2:$B$121,"&gt;="&amp;A6,SalesData!$B$2:$B$121,"&lt;"&amp;A7)</x:f>
        <x:v>21</x:v>
      </x:c>
      <x:c r="E6" s="12" t="n">
        <x:f>IF(D6=0,0,B6/D6)</x:f>
        <x:v>2468.5228571428574</x:v>
      </x:c>
      <x:c r="F6" t="n">
        <x:f>COUNTIFS(SalesData!$B$2:$B$121,"&gt;="&amp;A6,SalesData!$B$2:$B$121,"&lt;"&amp;A7,SalesData!$P$2:$P$121,"Yes")</x:f>
        <x:v>2</x:v>
      </x:c>
    </x:row>
    <x:row r="7">
      <x:c r="A7" s="22" t="n">
        <x:v>46174</x:v>
      </x:c>
      <x:c r="B7" s="12" t="n">
        <x:f>SUMIFS(SalesData!$K$2:$K$121,SalesData!$B$2:$B$121,"&gt;="&amp;A7,SalesData!$B$2:$B$121,"&lt;"&amp;DATE(2026,7,1))</x:f>
        <x:v>46031.15</x:v>
      </x:c>
      <x:c r="C7" s="12" t="n">
        <x:f>SUMIFS(SalesData!$M$2:$M$121,SalesData!$B$2:$B$121,"&gt;="&amp;A7,SalesData!$B$2:$B$121,"&lt;"&amp;DATE(2026,7,1))</x:f>
        <x:v>20181.149999999998</x:v>
      </x:c>
      <x:c r="D7" t="n">
        <x:f>COUNTIFS(SalesData!$B$2:$B$121,"&gt;="&amp;A7,SalesData!$B$2:$B$121,"&lt;"&amp;DATE(2026,7,1))</x:f>
        <x:v>23</x:v>
      </x:c>
      <x:c r="E7" s="12" t="n">
        <x:f>IF(D7=0,0,B7/D7)</x:f>
        <x:v>2001.354347826087</x:v>
      </x:c>
      <x:c r="F7" t="n">
        <x:f>COUNTIFS(SalesData!$B$2:$B$121,"&gt;="&amp;A7,SalesData!$B$2:$B$121,"&lt;"&amp;DATE(2026,7,1),SalesData!$P$2:$P$121,"Yes")</x:f>
        <x:v>3</x:v>
      </x:c>
    </x:row>
    <x:row r="8">
      <x:c r="A8" s="19" t="str">
        <x:v>Total</x:v>
      </x:c>
      <x:c r="B8" s="24" t="n">
        <x:f>SUM(B2:B7)</x:f>
        <x:v>245663.77000000002</x:v>
      </x:c>
      <x:c r="C8" s="24" t="n">
        <x:f>SUM(C2:C7)</x:f>
        <x:v>105088.76999999999</x:v>
      </x:c>
      <x:c r="D8" s="19" t="n">
        <x:f>SUM(D2:D7)</x:f>
        <x:v>120</x:v>
      </x:c>
      <x:c r="E8" s="24" t="n">
        <x:f>IF(D8=0,0,B8/D8)</x:f>
        <x:v>2047.1980833333334</x:v>
      </x:c>
      <x:c r="F8" s="19" t="n">
        <x:f>SUM(F2:F7)</x:f>
        <x:v>8</x:v>
      </x:c>
    </x:row>
  </x:sheetData>
  <x:pageMargins left="0.7" right="0.7" top="0.75" bottom="0.75" header="0.3" footer="0.3"/>
  <x:drawing xmlns:r="http://schemas.openxmlformats.org/officeDocument/2006/relationships" r:id="R09db6a3b6d424b2f"/>
</x:worksheet>
</file>